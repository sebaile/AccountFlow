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500" firstSheet="0" activeTab="2" autoFilterDateGrouping="1"/>
  </bookViews>
  <sheets>
    <sheet name="Resumen" sheetId="1" state="visible" r:id="rId1"/>
    <sheet name="Precios" sheetId="2" state="visible" r:id="rId2"/>
    <sheet name="Cuentas" sheetId="3" state="visible" r:id="rId3"/>
    <sheet name="Clientes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dd\-mm\-yyyy"/>
  </numFmts>
  <fonts count="9">
    <font>
      <name val="Calibri"/>
      <charset val="1"/>
      <family val="2"/>
      <color theme="1"/>
      <sz val="11"/>
    </font>
    <font>
      <name val="Cambria"/>
      <charset val="1"/>
      <b val="1"/>
      <color rgb="FF1F4E78"/>
      <sz val="18"/>
    </font>
    <font>
      <name val="Cambria"/>
      <charset val="1"/>
      <b val="1"/>
      <color rgb="FF1F4E78"/>
      <sz val="10"/>
    </font>
    <font>
      <name val="Cambria"/>
      <charset val="1"/>
      <b val="1"/>
      <color rgb="FF000000"/>
      <sz val="20"/>
    </font>
    <font>
      <name val="Cambria"/>
      <charset val="1"/>
      <b val="1"/>
      <color rgb="FF1F4E78"/>
      <sz val="13"/>
    </font>
    <font>
      <name val="Cambria"/>
      <charset val="1"/>
      <b val="1"/>
      <color rgb="FFFFFFFF"/>
      <sz val="11"/>
    </font>
    <font>
      <name val="Cambria"/>
      <charset val="1"/>
      <b val="1"/>
      <color rgb="FF1F4E78"/>
      <sz val="16"/>
    </font>
    <font>
      <name val="Calibri"/>
      <charset val="1"/>
      <b val="1"/>
      <color rgb="FFFFFFFF"/>
      <sz val="11"/>
    </font>
    <font>
      <name val="Calibri"/>
      <charset val="1"/>
      <family val="2"/>
      <color theme="10"/>
      <sz val="11"/>
      <u val="single"/>
    </font>
  </fonts>
  <fills count="9">
    <fill>
      <patternFill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F2F2F2"/>
        <bgColor rgb="FFF7F7F7"/>
      </patternFill>
    </fill>
    <fill>
      <patternFill patternType="solid">
        <fgColor rgb="FF1F4E78"/>
        <bgColor rgb="FF003366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8" fillId="0" borderId="0"/>
  </cellStyleXfs>
  <cellXfs count="38">
    <xf numFmtId="0" fontId="0" fillId="0" borderId="0" pivotButton="0" quotePrefix="0" xfId="0"/>
    <xf numFmtId="0" fontId="4" fillId="0" borderId="0" pivotButton="0" quotePrefix="0" xfId="0"/>
    <xf numFmtId="0" fontId="5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left"/>
    </xf>
    <xf numFmtId="0" fontId="0" fillId="7" borderId="0" applyAlignment="1" pivotButton="0" quotePrefix="0" xfId="0">
      <alignment horizontal="center"/>
    </xf>
    <xf numFmtId="164" fontId="0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left"/>
    </xf>
    <xf numFmtId="0" fontId="0" fillId="8" borderId="0" applyAlignment="1" pivotButton="0" quotePrefix="0" xfId="0">
      <alignment horizontal="center"/>
    </xf>
    <xf numFmtId="164" fontId="0" fillId="8" borderId="0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164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left"/>
    </xf>
    <xf numFmtId="164" fontId="0" fillId="8" borderId="1" applyAlignment="1" pivotButton="0" quotePrefix="0" xfId="0">
      <alignment horizontal="center"/>
    </xf>
    <xf numFmtId="0" fontId="7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5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14" fontId="0" fillId="0" borderId="0" pivotButton="0" quotePrefix="0" xfId="0"/>
    <xf numFmtId="14" fontId="0" fillId="0" borderId="0" applyAlignment="1" pivotButton="0" quotePrefix="0" xfId="0">
      <alignment vertical="center" wrapText="1"/>
    </xf>
    <xf numFmtId="0" fontId="8" fillId="0" borderId="1" pivotButton="0" quotePrefix="0" xfId="1"/>
    <xf numFmtId="0" fontId="3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5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</cellXfs>
  <cellStyles count="2">
    <cellStyle name="Normal" xfId="0" builtinId="0"/>
    <cellStyle name="Hipervínculo" xfId="1" builtinId="8"/>
  </cellStyles>
  <dxfs count="4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7F7F7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Cuentas por Servicio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Resumen!$B$9</f>
              <strCache>
                <ptCount val="1"/>
                <pt idx="0">
                  <v>Cantidad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s-CL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Resumen!$A$10:$A$19</f>
              <strCache>
                <ptCount val="10"/>
                <pt idx="0">
                  <v>Netflix</v>
                </pt>
                <pt idx="1">
                  <v>Disney+</v>
                </pt>
                <pt idx="2">
                  <v>HBO Max</v>
                </pt>
                <pt idx="3">
                  <v>Amazon Prime Video</v>
                </pt>
                <pt idx="4">
                  <v>Paramount+</v>
                </pt>
                <pt idx="5">
                  <v>Apple TV+</v>
                </pt>
                <pt idx="6">
                  <v>Spotify</v>
                </pt>
                <pt idx="7">
                  <v>YouTube Premium</v>
                </pt>
                <pt idx="8">
                  <v>Crunchyroll</v>
                </pt>
                <pt idx="9">
                  <v>Otro</v>
                </pt>
              </strCache>
            </strRef>
          </cat>
          <val>
            <numRef>
              <f>Resumen!$B$10:$B$19</f>
              <numCache>
                <formatCode>General</formatCode>
                <ptCount val="10"/>
                <pt idx="0">
                  <v>4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225551"/>
        <axId val="50470381"/>
      </barChart>
      <catAx>
        <axId val="50225551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Servicio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s-CL"/>
          </a:p>
        </txPr>
        <crossAx val="50470381"/>
        <crosses val="autoZero"/>
        <auto val="1"/>
        <lblAlgn val="ctr"/>
        <lblOffset val="100"/>
        <noMultiLvlLbl val="0"/>
      </catAx>
      <valAx>
        <axId val="50470381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Cantidad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s-CL"/>
          </a:p>
        </txPr>
        <crossAx val="50225551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s-CL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K1" authorId="0" shapeId="0">
      <text>
        <t>Se autocompleta según el precio fijado en la hoja Precios. Puedes sobrescribirlo si este cliente tiene un precio distinto.</t>
      </text>
    </comment>
    <comment ref="L1" authorId="0" shapeId="0">
      <text>
        <t>Se autocompleta según el precio fijado en la hoja Precios. Puedes sobrescribirlo si este cliente tiene un precio distinto.</t>
      </text>
    </comment>
    <comment ref="M1" authorId="0" shapeId="0">
      <text>
        <t>Se calcula sola: Valor - Costo.</t>
      </text>
    </comment>
    <comment ref="N1" authorId="0" shapeId="0">
      <text>
        <t>Se calcula sola. No editar.</t>
      </text>
    </comment>
    <comment ref="O1" authorId="0" shapeId="0">
      <text>
        <t>Se calcula sola. No editar.</t>
      </text>
    </comment>
    <comment ref="P1" authorId="0" shapeId="0">
      <text>
        <t>Fecha estimada del próximo cobro según el ciclo de pago.</t>
      </text>
    </comment>
    <comment ref="Q1" authorId="0" shapeId="0">
      <text>
        <t>Se calcula sola según la fecha de vencimiento. No editar.</t>
      </text>
    </comment>
    <comment ref="S1" authorId="0" shapeId="0">
      <text>
        <t>Clic para abrir WhatsApp con un mensaje de recordatorio ya escrito.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5</col>
      <colOff>0</colOff>
      <row>7</row>
      <rowOff>0</rowOff>
    </from>
    <to>
      <col>12</col>
      <colOff>46320</colOff>
      <row>22</row>
      <rowOff>7200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aCuentas" displayName="TablaCuentas" ref="A1:T300" headerRowCount="1" totalsRowShown="0">
  <autoFilter ref="A1:T300"/>
  <tableColumns count="20">
    <tableColumn id="1" name="Servicio"/>
    <tableColumn id="2" name="Perfil"/>
    <tableColumn id="3" name="Usuario / Correo"/>
    <tableColumn id="4" name="Contraseña"/>
    <tableColumn id="5" name="Cliente"/>
    <tableColumn id="6" name="Teléfono Cliente"/>
    <tableColumn id="21" name="Usuario Instagram" dataDxfId="3"/>
    <tableColumn id="7" name="Fecha de Inicio"/>
    <tableColumn id="8" name="Fecha de Vencimiento"/>
    <tableColumn id="9" name="Ciclo de Pago"/>
    <tableColumn id="10" name="Costo ($)"/>
    <tableColumn id="11" name="Valor ($)"/>
    <tableColumn id="12" name="Ganancia ($)"/>
    <tableColumn id="13" name="Duración (días)"/>
    <tableColumn id="14" name="Días Restantes"/>
    <tableColumn id="15" name="Próxima Fecha de Pago"/>
    <tableColumn id="16" name="Estado"/>
    <tableColumn id="17" name="En línea"/>
    <tableColumn id="18" name="Recordatorio WhatsApp"/>
    <tableColumn id="19" name="Observacion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mailto:prueba@gmail.com" TargetMode="External" Id="rId1" /><Relationship Type="http://schemas.openxmlformats.org/officeDocument/2006/relationships/table" Target="/xl/tables/table1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topLeftCell="A2" zoomScaleNormal="100" workbookViewId="0">
      <selection activeCell="C25" sqref="C25"/>
    </sheetView>
  </sheetViews>
  <sheetFormatPr baseColWidth="10" defaultColWidth="8.7109375" defaultRowHeight="15"/>
  <cols>
    <col width="22" customWidth="1" style="28" min="1" max="1"/>
    <col width="13.28515625" customWidth="1" style="28" min="2" max="2"/>
    <col width="15" customWidth="1" style="28" min="3" max="3"/>
    <col width="18.42578125" customWidth="1" style="28" min="4" max="4"/>
    <col width="13" customWidth="1" style="28" min="5" max="8"/>
    <col width="16.28515625" customWidth="1" style="28" min="10" max="10"/>
  </cols>
  <sheetData>
    <row r="1" ht="30" customHeight="1" s="28">
      <c r="A1" s="32" t="inlineStr">
        <is>
          <t>Resumen de Cuentas Streaming</t>
        </is>
      </c>
    </row>
    <row r="3" ht="25.5" customHeight="1" s="28">
      <c r="A3" s="34" t="inlineStr">
        <is>
          <t>Cuentas Activas</t>
        </is>
      </c>
      <c r="C3" s="33" t="inlineStr">
        <is>
          <t>Por Vencer (≤3 días)</t>
        </is>
      </c>
      <c r="E3" s="36" t="inlineStr">
        <is>
          <t>Vencidas</t>
        </is>
      </c>
      <c r="G3" s="35" t="inlineStr">
        <is>
          <t>Ingreso Mensual Activo</t>
        </is>
      </c>
      <c r="I3" s="35" t="inlineStr">
        <is>
          <t>Ganancia Mensual Activa</t>
        </is>
      </c>
    </row>
    <row r="4" ht="21.75" customHeight="1" s="28">
      <c r="A4" s="29">
        <f>COUNTIF(Cuentas!Q2:Q300,"Activa")</f>
        <v/>
      </c>
      <c r="C4" s="27">
        <f>COUNTIF(Cuentas!Q2:Q300,"Por vencer")</f>
        <v/>
      </c>
      <c r="E4" s="31">
        <f>COUNTIF(Cuentas!Q2:Q300,"Vencida")</f>
        <v/>
      </c>
      <c r="G4" s="30">
        <f>SUMIF(Cuentas!Q2:Q300,"Activa",Cuentas!L2:L300)</f>
        <v/>
      </c>
      <c r="I4" s="30">
        <f>SUMIF(Cuentas!Q2:Q300,"Activa",Cuentas!M2:M300)</f>
        <v/>
      </c>
    </row>
    <row r="5" ht="21.75" customHeight="1" s="28"/>
    <row r="8" ht="15.75" customHeight="1" s="28">
      <c r="A8" s="1" t="inlineStr">
        <is>
          <t>Cuentas por Servicio</t>
        </is>
      </c>
    </row>
    <row r="9" ht="15" customHeight="1" s="28">
      <c r="A9" s="2" t="inlineStr">
        <is>
          <t>Servicio</t>
        </is>
      </c>
      <c r="B9" s="2" t="inlineStr">
        <is>
          <t>Cantidad</t>
        </is>
      </c>
      <c r="C9" s="2" t="inlineStr">
        <is>
          <t>Ingreso Total</t>
        </is>
      </c>
      <c r="D9" s="2" t="inlineStr">
        <is>
          <t>Ganancia Total</t>
        </is>
      </c>
    </row>
    <row r="10" ht="15" customHeight="1" s="28">
      <c r="A10" s="3" t="inlineStr">
        <is>
          <t>Netflix</t>
        </is>
      </c>
      <c r="B10" s="4">
        <f>COUNTIF(Cuentas!A2:A300,A10)</f>
        <v/>
      </c>
      <c r="C10" s="5">
        <f>SUMIF(Cuentas!A2:A300,A10,Cuentas!L2:L300)</f>
        <v/>
      </c>
      <c r="D10" s="5">
        <f>SUMIF(Cuentas!A2:A300,A10,Cuentas!M2:M300)</f>
        <v/>
      </c>
    </row>
    <row r="11" ht="15" customHeight="1" s="28">
      <c r="A11" s="6" t="inlineStr">
        <is>
          <t>Disney+</t>
        </is>
      </c>
      <c r="B11" s="7">
        <f>COUNTIF(Cuentas!A2:A300,A11)</f>
        <v/>
      </c>
      <c r="C11" s="8">
        <f>SUMIF(Cuentas!A2:A300,A11,Cuentas!L2:L300)</f>
        <v/>
      </c>
      <c r="D11" s="8">
        <f>SUMIF(Cuentas!A2:A300,A11,Cuentas!M2:M300)</f>
        <v/>
      </c>
    </row>
    <row r="12" ht="15" customHeight="1" s="28">
      <c r="A12" s="3" t="inlineStr">
        <is>
          <t>HBO Max</t>
        </is>
      </c>
      <c r="B12" s="4">
        <f>COUNTIF(Cuentas!A2:A300,A12)</f>
        <v/>
      </c>
      <c r="C12" s="5">
        <f>SUMIF(Cuentas!A2:A300,A12,Cuentas!L2:L300)</f>
        <v/>
      </c>
      <c r="D12" s="5">
        <f>SUMIF(Cuentas!A2:A300,A12,Cuentas!M2:M300)</f>
        <v/>
      </c>
    </row>
    <row r="13" ht="15" customHeight="1" s="28">
      <c r="A13" s="6" t="inlineStr">
        <is>
          <t>Amazon Prime Video</t>
        </is>
      </c>
      <c r="B13" s="7">
        <f>COUNTIF(Cuentas!A2:A300,A13)</f>
        <v/>
      </c>
      <c r="C13" s="8">
        <f>SUMIF(Cuentas!A2:A300,A13,Cuentas!L2:L300)</f>
        <v/>
      </c>
      <c r="D13" s="8">
        <f>SUMIF(Cuentas!A2:A300,A13,Cuentas!M2:M300)</f>
        <v/>
      </c>
    </row>
    <row r="14" ht="15" customHeight="1" s="28">
      <c r="A14" s="3" t="inlineStr">
        <is>
          <t>Paramount+</t>
        </is>
      </c>
      <c r="B14" s="4">
        <f>COUNTIF(Cuentas!A2:A300,A14)</f>
        <v/>
      </c>
      <c r="C14" s="5">
        <f>SUMIF(Cuentas!A2:A300,A14,Cuentas!L2:L300)</f>
        <v/>
      </c>
      <c r="D14" s="5">
        <f>SUMIF(Cuentas!A2:A300,A14,Cuentas!M2:M300)</f>
        <v/>
      </c>
    </row>
    <row r="15" ht="15" customHeight="1" s="28">
      <c r="A15" s="3" t="inlineStr">
        <is>
          <t>Apple TV+</t>
        </is>
      </c>
      <c r="B15" s="4">
        <f>COUNTIF(Cuentas!A2:A300,A15)</f>
        <v/>
      </c>
      <c r="C15" s="5">
        <f>SUMIF(Cuentas!A2:A300,A15,Cuentas!L2:L300)</f>
        <v/>
      </c>
      <c r="D15" s="5">
        <f>SUMIF(Cuentas!A2:A300,A15,Cuentas!M2:M300)</f>
        <v/>
      </c>
    </row>
    <row r="16" ht="15" customHeight="1" s="28">
      <c r="A16" s="6" t="inlineStr">
        <is>
          <t>Spotify</t>
        </is>
      </c>
      <c r="B16" s="7">
        <f>COUNTIF(Cuentas!A2:A300,A16)</f>
        <v/>
      </c>
      <c r="C16" s="8">
        <f>SUMIF(Cuentas!A2:A300,A16,Cuentas!L2:L300)</f>
        <v/>
      </c>
      <c r="D16" s="8">
        <f>SUMIF(Cuentas!A2:A300,A16,Cuentas!M2:M300)</f>
        <v/>
      </c>
    </row>
    <row r="17" ht="15" customHeight="1" s="28">
      <c r="A17" s="3" t="inlineStr">
        <is>
          <t>YouTube Premium</t>
        </is>
      </c>
      <c r="B17" s="4">
        <f>COUNTIF(Cuentas!A2:A300,A17)</f>
        <v/>
      </c>
      <c r="C17" s="5">
        <f>SUMIF(Cuentas!A2:A300,A17,Cuentas!L2:L300)</f>
        <v/>
      </c>
      <c r="D17" s="5">
        <f>SUMIF(Cuentas!A2:A300,A17,Cuentas!M2:M300)</f>
        <v/>
      </c>
    </row>
    <row r="18" ht="15" customHeight="1" s="28">
      <c r="A18" s="6" t="inlineStr">
        <is>
          <t>Crunchyroll</t>
        </is>
      </c>
      <c r="B18" s="7">
        <f>COUNTIF(Cuentas!A2:A300,A18)</f>
        <v/>
      </c>
      <c r="C18" s="8">
        <f>SUMIF(Cuentas!A2:A300,A18,Cuentas!L2:L300)</f>
        <v/>
      </c>
      <c r="D18" s="8">
        <f>SUMIF(Cuentas!A2:A300,A18,Cuentas!M2:M300)</f>
        <v/>
      </c>
    </row>
    <row r="19" ht="15" customHeight="1" s="28">
      <c r="A19" s="3" t="inlineStr">
        <is>
          <t>Otro</t>
        </is>
      </c>
      <c r="B19" s="4">
        <f>COUNTIF(Cuentas!A2:A300,A19)</f>
        <v/>
      </c>
      <c r="C19" s="5">
        <f>SUMIF(Cuentas!A2:A300,A19,Cuentas!L2:L300)</f>
        <v/>
      </c>
      <c r="D19" s="5">
        <f>SUMIF(Cuentas!A2:A300,A19,Cuentas!M2:M300)</f>
        <v/>
      </c>
    </row>
  </sheetData>
  <mergeCells count="11">
    <mergeCell ref="C4:D5"/>
    <mergeCell ref="A4:B5"/>
    <mergeCell ref="G4:H5"/>
    <mergeCell ref="E4:F5"/>
    <mergeCell ref="I4:J5"/>
    <mergeCell ref="A1:H1"/>
    <mergeCell ref="C3:D3"/>
    <mergeCell ref="A3:B3"/>
    <mergeCell ref="G3:H3"/>
    <mergeCell ref="E3:F3"/>
    <mergeCell ref="I3:J3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zoomScale="110" zoomScaleNormal="110" workbookViewId="0">
      <selection activeCell="B5" sqref="B5"/>
    </sheetView>
  </sheetViews>
  <sheetFormatPr baseColWidth="10" defaultColWidth="8.7109375" defaultRowHeight="15"/>
  <cols>
    <col width="22" customWidth="1" style="28" min="1" max="1"/>
    <col width="14" customWidth="1" style="28" min="2" max="3"/>
    <col width="21.5703125" customWidth="1" style="28" min="4" max="4"/>
    <col width="15" customWidth="1" style="28" min="5" max="5"/>
  </cols>
  <sheetData>
    <row r="1" ht="20.25" customHeight="1" s="28">
      <c r="A1" s="37" t="inlineStr">
        <is>
          <t>Lista de Precios por Servicio</t>
        </is>
      </c>
    </row>
    <row r="2" ht="27.75" customHeight="1" s="28"/>
    <row r="3"/>
    <row r="4" ht="21.75" customHeight="1" s="28">
      <c r="A4" s="22" t="inlineStr">
        <is>
          <t>Servicio</t>
        </is>
      </c>
      <c r="B4" s="22" t="inlineStr">
        <is>
          <t>Costo ($)</t>
        </is>
      </c>
      <c r="C4" s="22" t="inlineStr">
        <is>
          <t>Valor ($)</t>
        </is>
      </c>
      <c r="D4" s="22" t="inlineStr">
        <is>
          <t>Ganancia ($)</t>
        </is>
      </c>
      <c r="E4" s="22" t="inlineStr">
        <is>
          <t>Tiempo</t>
        </is>
      </c>
    </row>
    <row r="5">
      <c r="A5" s="9" t="inlineStr">
        <is>
          <t>Netflix</t>
        </is>
      </c>
      <c r="B5" s="10" t="n">
        <v>4000</v>
      </c>
      <c r="C5" s="10" t="n">
        <v>5500</v>
      </c>
      <c r="D5" s="10">
        <f>IF(AND(B5&lt;&gt;"",C5&lt;&gt;""),C5-B5,"")</f>
        <v/>
      </c>
      <c r="E5" s="10" t="inlineStr">
        <is>
          <t xml:space="preserve">1 mes </t>
        </is>
      </c>
    </row>
    <row r="6">
      <c r="A6" s="11" t="inlineStr">
        <is>
          <t>Disney+</t>
        </is>
      </c>
      <c r="B6" s="12" t="n">
        <v>3000</v>
      </c>
      <c r="C6" s="12" t="n">
        <v>4500</v>
      </c>
      <c r="D6" s="12">
        <f>IF(AND(B6&lt;&gt;"",C6&lt;&gt;""),C6-B6,"")</f>
        <v/>
      </c>
      <c r="E6" s="12" t="inlineStr">
        <is>
          <t xml:space="preserve">3 meses </t>
        </is>
      </c>
    </row>
    <row r="7">
      <c r="A7" s="9" t="inlineStr">
        <is>
          <t>HBO Max</t>
        </is>
      </c>
      <c r="B7" s="10" t="n">
        <v>3000</v>
      </c>
      <c r="C7" s="10" t="n">
        <v>4500</v>
      </c>
      <c r="D7" s="10">
        <f>IF(AND(B7&lt;&gt;"",C7&lt;&gt;""),C7-B7,"")</f>
        <v/>
      </c>
      <c r="E7" s="10" t="inlineStr">
        <is>
          <t xml:space="preserve">3 meses </t>
        </is>
      </c>
    </row>
    <row r="8">
      <c r="A8" s="11" t="inlineStr">
        <is>
          <t>Amazon Prime Video</t>
        </is>
      </c>
      <c r="B8" s="12" t="n">
        <v>3000</v>
      </c>
      <c r="C8" s="12" t="n">
        <v>4500</v>
      </c>
      <c r="D8" s="12">
        <f>IF(AND(B8&lt;&gt;"",C8&lt;&gt;""),C8-B8,"")</f>
        <v/>
      </c>
      <c r="E8" s="12" t="inlineStr">
        <is>
          <t xml:space="preserve">1 mes </t>
        </is>
      </c>
    </row>
    <row r="9">
      <c r="A9" s="9" t="inlineStr">
        <is>
          <t>Paramount+</t>
        </is>
      </c>
      <c r="B9" s="10" t="n">
        <v>3000</v>
      </c>
      <c r="C9" s="10" t="n">
        <v>4000</v>
      </c>
      <c r="D9" s="10">
        <f>IF(AND(B9&lt;&gt;"",C9&lt;&gt;""),C9-B9,"")</f>
        <v/>
      </c>
      <c r="E9" s="10" t="inlineStr">
        <is>
          <t xml:space="preserve">1 mes </t>
        </is>
      </c>
    </row>
    <row r="10">
      <c r="A10" s="9" t="inlineStr">
        <is>
          <t>Apple TV+</t>
        </is>
      </c>
      <c r="B10" s="10" t="n">
        <v>3000</v>
      </c>
      <c r="C10" s="10" t="n">
        <v>4500</v>
      </c>
      <c r="D10" s="10">
        <f>IF(AND(B10&lt;&gt;"",C10&lt;&gt;""),C10-B10,"")</f>
        <v/>
      </c>
      <c r="E10" s="10" t="inlineStr">
        <is>
          <t xml:space="preserve">1 mes </t>
        </is>
      </c>
    </row>
    <row r="11">
      <c r="A11" s="11" t="inlineStr">
        <is>
          <t>Spotify</t>
        </is>
      </c>
      <c r="B11" s="12" t="n">
        <v>4000</v>
      </c>
      <c r="C11" s="12" t="n">
        <v>5500</v>
      </c>
      <c r="D11" s="12">
        <f>IF(AND(B11&lt;&gt;"",C11&lt;&gt;""),C11-B11,"")</f>
        <v/>
      </c>
      <c r="E11" s="10" t="inlineStr">
        <is>
          <t xml:space="preserve">3 meses </t>
        </is>
      </c>
    </row>
    <row r="12">
      <c r="A12" s="9" t="inlineStr">
        <is>
          <t>YouTube Premium</t>
        </is>
      </c>
      <c r="B12" s="10" t="n">
        <v>3000</v>
      </c>
      <c r="C12" s="10" t="n">
        <v>4500</v>
      </c>
      <c r="D12" s="10">
        <f>IF(AND(B12&lt;&gt;"",C12&lt;&gt;""),C12-B12,"")</f>
        <v/>
      </c>
      <c r="E12" s="12" t="inlineStr">
        <is>
          <t xml:space="preserve">1 mes </t>
        </is>
      </c>
    </row>
    <row r="13">
      <c r="A13" s="11" t="inlineStr">
        <is>
          <t>Crunchyroll</t>
        </is>
      </c>
      <c r="B13" s="12" t="n">
        <v>3000</v>
      </c>
      <c r="C13" s="12" t="n">
        <v>4500</v>
      </c>
      <c r="D13" s="12">
        <f>IF(AND(B13&lt;&gt;"",C13&lt;&gt;""),C13-B13,"")</f>
        <v/>
      </c>
      <c r="E13" s="10" t="inlineStr">
        <is>
          <t xml:space="preserve">3 meses </t>
        </is>
      </c>
    </row>
    <row r="14">
      <c r="A14" s="9" t="inlineStr">
        <is>
          <t xml:space="preserve">ChatGpt (GO) </t>
        </is>
      </c>
      <c r="B14" s="10" t="n">
        <v>5000</v>
      </c>
      <c r="C14" s="10" t="n">
        <v>8000</v>
      </c>
      <c r="D14" s="10">
        <f>IF(AND(B14&lt;&gt;"",C14&lt;&gt;""),C14-B14,"")</f>
        <v/>
      </c>
      <c r="E14" s="12" t="inlineStr">
        <is>
          <t xml:space="preserve">1 mes </t>
        </is>
      </c>
    </row>
  </sheetData>
  <mergeCells count="1">
    <mergeCell ref="A1:E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0"/>
  <sheetViews>
    <sheetView showGridLines="0" tabSelected="1" zoomScaleNormal="100" workbookViewId="0">
      <pane ySplit="1" topLeftCell="A2" activePane="bottomLeft" state="frozen"/>
      <selection pane="bottomLeft" activeCell="M4" sqref="M4"/>
    </sheetView>
  </sheetViews>
  <sheetFormatPr baseColWidth="10" defaultColWidth="8.7109375" defaultRowHeight="15"/>
  <cols>
    <col width="16" customWidth="1" style="28" min="1" max="1"/>
    <col width="10" customWidth="1" style="28" min="2" max="2"/>
    <col width="24" customWidth="1" style="28" min="3" max="3"/>
    <col width="16" customWidth="1" style="28" min="4" max="4"/>
    <col width="20" customWidth="1" style="28" min="5" max="5"/>
    <col width="16" customWidth="1" style="28" min="6" max="6"/>
    <col width="18.85546875" customWidth="1" style="28" min="7" max="7"/>
    <col width="13" customWidth="1" style="28" min="8" max="8"/>
    <col width="15" customWidth="1" style="28" min="9" max="9"/>
    <col width="13" customWidth="1" style="28" min="10" max="10"/>
    <col width="11" customWidth="1" style="28" min="11" max="12"/>
    <col width="12" customWidth="1" style="28" min="13" max="13"/>
    <col width="11" customWidth="1" style="28" min="14" max="15"/>
    <col width="15" customWidth="1" style="28" min="16" max="16"/>
    <col width="12" customWidth="1" style="28" min="17" max="17"/>
    <col width="10" customWidth="1" style="28" min="18" max="18"/>
    <col width="18" customWidth="1" style="28" min="19" max="19"/>
    <col width="30" customWidth="1" style="28" min="20" max="20"/>
  </cols>
  <sheetData>
    <row r="1" ht="31.5" customHeight="1" s="28">
      <c r="A1" s="13" t="inlineStr">
        <is>
          <t>Servicio</t>
        </is>
      </c>
      <c r="B1" s="13" t="inlineStr">
        <is>
          <t>Perfil</t>
        </is>
      </c>
      <c r="C1" s="13" t="inlineStr">
        <is>
          <t>Usuario / Correo</t>
        </is>
      </c>
      <c r="D1" s="13" t="inlineStr">
        <is>
          <t>Contraseña</t>
        </is>
      </c>
      <c r="E1" s="13" t="inlineStr">
        <is>
          <t>Cliente</t>
        </is>
      </c>
      <c r="F1" s="13" t="inlineStr">
        <is>
          <t>Teléfono Cliente</t>
        </is>
      </c>
      <c r="G1" s="13" t="inlineStr">
        <is>
          <t>Usuario Instagram</t>
        </is>
      </c>
      <c r="H1" s="13" t="inlineStr">
        <is>
          <t>Fecha de Inicio</t>
        </is>
      </c>
      <c r="I1" s="13" t="inlineStr">
        <is>
          <t>Fecha de Vencimiento</t>
        </is>
      </c>
      <c r="J1" s="13" t="inlineStr">
        <is>
          <t>Ciclo de Pago</t>
        </is>
      </c>
      <c r="K1" s="13" t="inlineStr">
        <is>
          <t>Costo ($)</t>
        </is>
      </c>
      <c r="L1" s="13" t="inlineStr">
        <is>
          <t>Valor ($)</t>
        </is>
      </c>
      <c r="M1" s="13" t="inlineStr">
        <is>
          <t>Ganancia ($)</t>
        </is>
      </c>
      <c r="N1" s="13" t="inlineStr">
        <is>
          <t>Duración (días)</t>
        </is>
      </c>
      <c r="O1" s="13" t="inlineStr">
        <is>
          <t>Días Restantes</t>
        </is>
      </c>
      <c r="P1" s="13" t="inlineStr">
        <is>
          <t>Próxima Fecha de Pago</t>
        </is>
      </c>
      <c r="Q1" s="13" t="inlineStr">
        <is>
          <t>Estado</t>
        </is>
      </c>
      <c r="R1" s="13" t="inlineStr">
        <is>
          <t>En línea</t>
        </is>
      </c>
      <c r="S1" s="13" t="inlineStr">
        <is>
          <t>Recordatorio WhatsApp</t>
        </is>
      </c>
      <c r="T1" s="13" t="inlineStr">
        <is>
          <t>Observaciones</t>
        </is>
      </c>
    </row>
    <row r="2" ht="15" customHeight="1" s="28">
      <c r="A2" s="14" t="inlineStr">
        <is>
          <t>Netflix</t>
        </is>
      </c>
      <c r="B2" s="14" t="inlineStr">
        <is>
          <t xml:space="preserve">Perfil 1 </t>
        </is>
      </c>
      <c r="C2" s="26" t="inlineStr">
        <is>
          <t>prueba@gmail.com</t>
        </is>
      </c>
      <c r="D2" s="14" t="inlineStr">
        <is>
          <t>123456</t>
        </is>
      </c>
      <c r="E2" s="14" t="inlineStr">
        <is>
          <t>sebailesito</t>
        </is>
      </c>
      <c r="F2" s="23" t="inlineStr">
        <is>
          <t>56911111111</t>
        </is>
      </c>
      <c r="G2" s="23" t="inlineStr"/>
      <c r="H2" s="25" t="inlineStr">
        <is>
          <t>2026-07-09</t>
        </is>
      </c>
      <c r="I2" s="24" t="n">
        <v>46243</v>
      </c>
      <c r="J2" s="14" t="inlineStr">
        <is>
          <t>Mensual</t>
        </is>
      </c>
      <c r="K2" s="16" t="n">
        <v>4000</v>
      </c>
      <c r="L2" s="16" t="n">
        <v>5500</v>
      </c>
      <c r="M2" s="16" t="n">
        <v>1500</v>
      </c>
      <c r="N2" s="14" t="n">
        <v>31</v>
      </c>
      <c r="O2" s="14" t="n">
        <v>30</v>
      </c>
      <c r="P2" s="15" t="n">
        <v>46243</v>
      </c>
      <c r="Q2" s="14" t="inlineStr">
        <is>
          <t>Activa</t>
        </is>
      </c>
      <c r="R2" s="14" t="inlineStr"/>
      <c r="S2" s="14" t="inlineStr"/>
      <c r="T2" s="14" t="inlineStr"/>
    </row>
    <row r="3" ht="15" customHeight="1" s="28">
      <c r="A3" s="14" t="inlineStr">
        <is>
          <t>Netflix</t>
        </is>
      </c>
      <c r="B3" s="14" t="inlineStr">
        <is>
          <t xml:space="preserve">perfil 2 </t>
        </is>
      </c>
      <c r="C3" s="14" t="inlineStr">
        <is>
          <t xml:space="preserve">felipe </t>
        </is>
      </c>
      <c r="D3" s="14" t="inlineStr">
        <is>
          <t>1234</t>
        </is>
      </c>
      <c r="E3" s="14" t="inlineStr">
        <is>
          <t>felipe</t>
        </is>
      </c>
      <c r="F3" t="inlineStr">
        <is>
          <t>+321321321312</t>
        </is>
      </c>
      <c r="H3" t="inlineStr">
        <is>
          <t>2026-07-11</t>
        </is>
      </c>
      <c r="I3" s="15" t="n">
        <v>46245</v>
      </c>
      <c r="J3" s="14" t="inlineStr">
        <is>
          <t>Mensual</t>
        </is>
      </c>
      <c r="K3" s="16" t="n">
        <v>4000</v>
      </c>
      <c r="L3" s="16" t="n">
        <v>5500</v>
      </c>
      <c r="M3" s="16" t="n">
        <v>1500</v>
      </c>
      <c r="N3" s="14" t="n">
        <v>31</v>
      </c>
      <c r="O3" s="14" t="n">
        <v>32</v>
      </c>
      <c r="P3" s="15" t="n">
        <v>46245</v>
      </c>
      <c r="Q3" s="14" t="inlineStr">
        <is>
          <t>Activa</t>
        </is>
      </c>
      <c r="R3" s="14" t="inlineStr"/>
      <c r="S3" s="14" t="inlineStr"/>
      <c r="T3" s="14" t="inlineStr"/>
    </row>
    <row r="4" ht="15" customHeight="1" s="28">
      <c r="A4" s="14" t="inlineStr">
        <is>
          <t>Netflix</t>
        </is>
      </c>
      <c r="B4" s="14" t="inlineStr">
        <is>
          <t xml:space="preserve">perfil 3 </t>
        </is>
      </c>
      <c r="C4" s="14" t="inlineStr">
        <is>
          <t>maggie</t>
        </is>
      </c>
      <c r="D4" s="14" t="inlineStr">
        <is>
          <t>1234</t>
        </is>
      </c>
      <c r="E4" s="14" t="inlineStr">
        <is>
          <t>maggi</t>
        </is>
      </c>
      <c r="F4" s="14" t="inlineStr">
        <is>
          <t>+131344444</t>
        </is>
      </c>
      <c r="G4" s="14" t="inlineStr"/>
      <c r="H4" s="15" t="inlineStr">
        <is>
          <t>2026-07-11</t>
        </is>
      </c>
      <c r="I4" s="15" t="n">
        <v>46245</v>
      </c>
      <c r="J4" s="14" t="inlineStr">
        <is>
          <t>Mensual</t>
        </is>
      </c>
      <c r="K4" s="16" t="n">
        <v>4000</v>
      </c>
      <c r="L4" s="16" t="n">
        <v>5500</v>
      </c>
      <c r="M4" s="16" t="n">
        <v>1500</v>
      </c>
      <c r="N4" s="14" t="n">
        <v>31</v>
      </c>
      <c r="O4" s="14" t="n">
        <v>32</v>
      </c>
      <c r="P4" s="15" t="n">
        <v>46245</v>
      </c>
      <c r="Q4" s="14" t="inlineStr">
        <is>
          <t>Activa</t>
        </is>
      </c>
      <c r="R4" s="14" t="inlineStr"/>
      <c r="S4" s="14" t="inlineStr"/>
      <c r="T4" s="14" t="inlineStr"/>
    </row>
    <row r="5" ht="15" customHeight="1" s="28">
      <c r="A5" s="14" t="inlineStr">
        <is>
          <t>Netflix</t>
        </is>
      </c>
      <c r="B5" s="14" t="inlineStr">
        <is>
          <t xml:space="preserve">perfil 4 </t>
        </is>
      </c>
      <c r="C5" s="14" t="inlineStr">
        <is>
          <t>mauro</t>
        </is>
      </c>
      <c r="D5" s="14" t="inlineStr">
        <is>
          <t>1234</t>
        </is>
      </c>
      <c r="E5" s="14" t="inlineStr">
        <is>
          <t>mauro</t>
        </is>
      </c>
      <c r="F5" s="14" t="inlineStr">
        <is>
          <t>+1233333333</t>
        </is>
      </c>
      <c r="G5" s="14" t="inlineStr">
        <is>
          <t>mauroperezf</t>
        </is>
      </c>
      <c r="H5" s="15" t="inlineStr">
        <is>
          <t>2026-07-12</t>
        </is>
      </c>
      <c r="I5" s="15" t="n">
        <v>46246</v>
      </c>
      <c r="J5" s="14" t="inlineStr">
        <is>
          <t>Mensual</t>
        </is>
      </c>
      <c r="K5" s="16" t="n">
        <v>4000</v>
      </c>
      <c r="L5" s="16" t="n">
        <v>5500</v>
      </c>
      <c r="M5" s="16" t="n">
        <v>1500</v>
      </c>
      <c r="N5" s="14" t="n">
        <v>31</v>
      </c>
      <c r="O5" s="14" t="n">
        <v>33</v>
      </c>
      <c r="P5" s="15" t="n">
        <v>46246</v>
      </c>
      <c r="Q5" s="14" t="inlineStr">
        <is>
          <t>Activa</t>
        </is>
      </c>
      <c r="R5" s="14" t="inlineStr"/>
      <c r="S5" s="14" t="inlineStr"/>
      <c r="T5" s="14" t="inlineStr"/>
    </row>
    <row r="6" ht="15" customHeight="1" s="28">
      <c r="A6" s="14" t="n"/>
      <c r="B6" s="14" t="n"/>
      <c r="C6" s="14" t="n"/>
      <c r="D6" s="14" t="n"/>
      <c r="E6" s="14" t="n"/>
      <c r="F6" s="14" t="n"/>
      <c r="G6" s="14" t="n"/>
      <c r="H6" s="15" t="n"/>
      <c r="I6" s="15" t="n"/>
      <c r="J6" s="14" t="n"/>
      <c r="K6" s="16">
        <f>IFERROR(VLOOKUP(A6,Precios!$A$5:$C$14,2,FALSE()),"")</f>
        <v/>
      </c>
      <c r="L6" s="16">
        <f>IFERROR(VLOOKUP(A6,Precios!$A$5:$C$14,3,FALSE()),"")</f>
        <v/>
      </c>
      <c r="M6" s="16">
        <f>IF(AND(K6&lt;&gt;"",L6&lt;&gt;""),L6-K6,"")</f>
        <v/>
      </c>
      <c r="N6" s="14">
        <f>IF(AND(H6&lt;&gt;"",I6&lt;&gt;""),I6-H6,"")</f>
        <v/>
      </c>
      <c r="O6" s="14">
        <f>IF(I6&lt;&gt;"",I6-TODAY(),"")</f>
        <v/>
      </c>
      <c r="P6" s="15">
        <f>IF(I6="","",IF(J6="Anual",I6+365,I6+30))</f>
        <v/>
      </c>
      <c r="Q6" s="14">
        <f>IF(I6="","",IF(O6&lt;0,"Vencida",IF(O6&lt;=3,"Por vencer","Activa")))</f>
        <v/>
      </c>
      <c r="R6" s="14" t="n"/>
      <c r="S6" s="14">
        <f>IF(OR(E6="",I6=""),"",HYPERLINK(IF(F6&lt;&gt;"","https://wa.me/"&amp;SUBSTITUTE(SUBSTITUTE(SUBSTITUTE(F6,"+",""),"-","")," ","")&amp;"?text="&amp;SUBSTITUTE(SUBSTITUTE("Hola "&amp;E6&amp;", tu cuenta de "&amp;A6&amp;" vence el "&amp;TEXT(I6,"dd/mm/yyyy")&amp;". Deseas renovarla?"," ","%20"),"?","%3F"),"https://api.whatsapp.com/send?text="&amp;SUBSTITUTE(SUBSTITUTE("Hola "&amp;E6&amp;", tu cuenta de "&amp;A6&amp;" vence el "&amp;TEXT(I6,"dd/mm/yyyy")&amp;". Deseas renovarla?"," ","%20"),"?","%3F")),"Enviar recordatorio"))</f>
        <v/>
      </c>
      <c r="T6" s="14" t="n"/>
    </row>
    <row r="7" ht="15" customHeight="1" s="28">
      <c r="A7" s="14" t="n"/>
      <c r="B7" s="14" t="n"/>
      <c r="C7" s="14" t="n"/>
      <c r="D7" s="14" t="n"/>
      <c r="E7" s="14" t="n"/>
      <c r="F7" s="14" t="n"/>
      <c r="G7" s="14" t="n"/>
      <c r="H7" s="15" t="n"/>
      <c r="I7" s="15" t="n"/>
      <c r="J7" s="14" t="n"/>
      <c r="K7" s="16">
        <f>IFERROR(VLOOKUP(A7,Precios!$A$5:$C$14,2,FALSE()),"")</f>
        <v/>
      </c>
      <c r="L7" s="16">
        <f>IFERROR(VLOOKUP(A7,Precios!$A$5:$C$14,3,FALSE()),"")</f>
        <v/>
      </c>
      <c r="M7" s="16">
        <f>IF(AND(K7&lt;&gt;"",L7&lt;&gt;""),L7-K7,"")</f>
        <v/>
      </c>
      <c r="N7" s="14">
        <f>IF(AND(H7&lt;&gt;"",I7&lt;&gt;""),I7-H7,"")</f>
        <v/>
      </c>
      <c r="O7" s="14">
        <f>IF(I7&lt;&gt;"",I7-TODAY(),"")</f>
        <v/>
      </c>
      <c r="P7" s="15">
        <f>IF(I7="","",IF(J7="Anual",I7+365,I7+30))</f>
        <v/>
      </c>
      <c r="Q7" s="14">
        <f>IF(I7="","",IF(O7&lt;0,"Vencida",IF(O7&lt;=3,"Por vencer","Activa")))</f>
        <v/>
      </c>
      <c r="R7" s="14" t="n"/>
      <c r="S7" s="14">
        <f>IF(OR(E7="",I7=""),"",HYPERLINK(IF(F7&lt;&gt;"","https://wa.me/"&amp;SUBSTITUTE(SUBSTITUTE(SUBSTITUTE(F7,"+",""),"-","")," ","")&amp;"?text="&amp;SUBSTITUTE(SUBSTITUTE("Hola "&amp;E7&amp;", tu cuenta de "&amp;A7&amp;" vence el "&amp;TEXT(I7,"dd/mm/yyyy")&amp;". Deseas renovarla?"," ","%20"),"?","%3F"),"https://api.whatsapp.com/send?text="&amp;SUBSTITUTE(SUBSTITUTE("Hola "&amp;E7&amp;", tu cuenta de "&amp;A7&amp;" vence el "&amp;TEXT(I7,"dd/mm/yyyy")&amp;". Deseas renovarla?"," ","%20"),"?","%3F")),"Enviar recordatorio"))</f>
        <v/>
      </c>
      <c r="T7" s="14" t="n"/>
    </row>
    <row r="8" ht="15" customHeight="1" s="28">
      <c r="A8" s="14" t="n"/>
      <c r="B8" s="14" t="n"/>
      <c r="C8" s="14" t="n"/>
      <c r="D8" s="14" t="n"/>
      <c r="E8" s="14" t="n"/>
      <c r="F8" s="14" t="n"/>
      <c r="G8" s="14" t="n"/>
      <c r="H8" s="15" t="n"/>
      <c r="I8" s="15" t="n"/>
      <c r="J8" s="14" t="n"/>
      <c r="K8" s="16">
        <f>IFERROR(VLOOKUP(A8,Precios!$A$5:$C$14,2,FALSE()),"")</f>
        <v/>
      </c>
      <c r="L8" s="16">
        <f>IFERROR(VLOOKUP(A8,Precios!$A$5:$C$14,3,FALSE()),"")</f>
        <v/>
      </c>
      <c r="M8" s="16">
        <f>IF(AND(K8&lt;&gt;"",L8&lt;&gt;""),L8-K8,"")</f>
        <v/>
      </c>
      <c r="N8" s="14">
        <f>IF(AND(H8&lt;&gt;"",I8&lt;&gt;""),I8-H8,"")</f>
        <v/>
      </c>
      <c r="O8" s="14">
        <f>IF(I8&lt;&gt;"",I8-TODAY(),"")</f>
        <v/>
      </c>
      <c r="P8" s="15">
        <f>IF(I8="","",IF(J8="Anual",I8+365,I8+30))</f>
        <v/>
      </c>
      <c r="Q8" s="14">
        <f>IF(I8="","",IF(O8&lt;0,"Vencida",IF(O8&lt;=3,"Por vencer","Activa")))</f>
        <v/>
      </c>
      <c r="R8" s="14" t="n"/>
      <c r="S8" s="14">
        <f>IF(OR(E8="",I8=""),"",HYPERLINK(IF(F8&lt;&gt;"","https://wa.me/"&amp;SUBSTITUTE(SUBSTITUTE(SUBSTITUTE(F8,"+",""),"-","")," ","")&amp;"?text="&amp;SUBSTITUTE(SUBSTITUTE("Hola "&amp;E8&amp;", tu cuenta de "&amp;A8&amp;" vence el "&amp;TEXT(I8,"dd/mm/yyyy")&amp;". Deseas renovarla?"," ","%20"),"?","%3F"),"https://api.whatsapp.com/send?text="&amp;SUBSTITUTE(SUBSTITUTE("Hola "&amp;E8&amp;", tu cuenta de "&amp;A8&amp;" vence el "&amp;TEXT(I8,"dd/mm/yyyy")&amp;". Deseas renovarla?"," ","%20"),"?","%3F")),"Enviar recordatorio"))</f>
        <v/>
      </c>
      <c r="T8" s="14" t="n"/>
    </row>
    <row r="9" ht="15" customHeight="1" s="28">
      <c r="A9" s="14" t="n"/>
      <c r="B9" s="14" t="n"/>
      <c r="C9" s="14" t="n"/>
      <c r="D9" s="14" t="n"/>
      <c r="E9" s="14" t="n"/>
      <c r="F9" s="14" t="n"/>
      <c r="G9" s="14" t="n"/>
      <c r="H9" s="15" t="n"/>
      <c r="I9" s="15" t="n"/>
      <c r="J9" s="14" t="n"/>
      <c r="K9" s="16">
        <f>IFERROR(VLOOKUP(A9,Precios!$A$5:$C$14,2,FALSE()),"")</f>
        <v/>
      </c>
      <c r="L9" s="16">
        <f>IFERROR(VLOOKUP(A9,Precios!$A$5:$C$14,3,FALSE()),"")</f>
        <v/>
      </c>
      <c r="M9" s="16">
        <f>IF(AND(K9&lt;&gt;"",L9&lt;&gt;""),L9-K9,"")</f>
        <v/>
      </c>
      <c r="N9" s="14">
        <f>IF(AND(H9&lt;&gt;"",I9&lt;&gt;""),I9-H9,"")</f>
        <v/>
      </c>
      <c r="O9" s="14">
        <f>IF(I9&lt;&gt;"",I9-TODAY(),"")</f>
        <v/>
      </c>
      <c r="P9" s="15">
        <f>IF(I9="","",IF(J9="Anual",I9+365,I9+30))</f>
        <v/>
      </c>
      <c r="Q9" s="14">
        <f>IF(I9="","",IF(O9&lt;0,"Vencida",IF(O9&lt;=3,"Por vencer","Activa")))</f>
        <v/>
      </c>
      <c r="R9" s="14" t="n"/>
      <c r="S9" s="14">
        <f>IF(OR(E9="",I9=""),"",HYPERLINK(IF(F9&lt;&gt;"","https://wa.me/"&amp;SUBSTITUTE(SUBSTITUTE(SUBSTITUTE(F9,"+",""),"-","")," ","")&amp;"?text="&amp;SUBSTITUTE(SUBSTITUTE("Hola "&amp;E9&amp;", tu cuenta de "&amp;A9&amp;" vence el "&amp;TEXT(I9,"dd/mm/yyyy")&amp;". Deseas renovarla?"," ","%20"),"?","%3F"),"https://api.whatsapp.com/send?text="&amp;SUBSTITUTE(SUBSTITUTE("Hola "&amp;E9&amp;", tu cuenta de "&amp;A9&amp;" vence el "&amp;TEXT(I9,"dd/mm/yyyy")&amp;". Deseas renovarla?"," ","%20"),"?","%3F")),"Enviar recordatorio"))</f>
        <v/>
      </c>
      <c r="T9" s="14" t="n"/>
    </row>
    <row r="10" ht="15" customHeight="1" s="28">
      <c r="A10" s="14" t="n"/>
      <c r="B10" s="14" t="n"/>
      <c r="C10" s="14" t="n"/>
      <c r="D10" s="14" t="n"/>
      <c r="E10" s="14" t="n"/>
      <c r="F10" s="14" t="n"/>
      <c r="G10" s="14" t="n"/>
      <c r="H10" s="15" t="n"/>
      <c r="I10" s="15" t="n"/>
      <c r="J10" s="14" t="n"/>
      <c r="K10" s="16">
        <f>IFERROR(VLOOKUP(A10,Precios!$A$5:$C$14,2,FALSE()),"")</f>
        <v/>
      </c>
      <c r="L10" s="16">
        <f>IFERROR(VLOOKUP(A10,Precios!$A$5:$C$14,3,FALSE()),"")</f>
        <v/>
      </c>
      <c r="M10" s="16">
        <f>IF(AND(K10&lt;&gt;"",L10&lt;&gt;""),L10-K10,"")</f>
        <v/>
      </c>
      <c r="N10" s="14">
        <f>IF(AND(H10&lt;&gt;"",I10&lt;&gt;""),I10-H10,"")</f>
        <v/>
      </c>
      <c r="O10" s="14">
        <f>IF(I10&lt;&gt;"",I10-TODAY(),"")</f>
        <v/>
      </c>
      <c r="P10" s="15">
        <f>IF(I10="","",IF(J10="Anual",I10+365,I10+30))</f>
        <v/>
      </c>
      <c r="Q10" s="14">
        <f>IF(I10="","",IF(O10&lt;0,"Vencida",IF(O10&lt;=3,"Por vencer","Activa")))</f>
        <v/>
      </c>
      <c r="R10" s="14" t="n"/>
      <c r="S10" s="14">
        <f>IF(OR(E10="",I10=""),"",HYPERLINK(IF(F10&lt;&gt;"","https://wa.me/"&amp;SUBSTITUTE(SUBSTITUTE(SUBSTITUTE(F10,"+",""),"-","")," ","")&amp;"?text="&amp;SUBSTITUTE(SUBSTITUTE("Hola "&amp;E10&amp;", tu cuenta de "&amp;A10&amp;" vence el "&amp;TEXT(I10,"dd/mm/yyyy")&amp;". Deseas renovarla?"," ","%20"),"?","%3F"),"https://api.whatsapp.com/send?text="&amp;SUBSTITUTE(SUBSTITUTE("Hola "&amp;E10&amp;", tu cuenta de "&amp;A10&amp;" vence el "&amp;TEXT(I10,"dd/mm/yyyy")&amp;". Deseas renovarla?"," ","%20"),"?","%3F")),"Enviar recordatorio"))</f>
        <v/>
      </c>
      <c r="T10" s="14" t="n"/>
    </row>
    <row r="11" ht="15" customHeight="1" s="28">
      <c r="A11" s="14" t="n"/>
      <c r="B11" s="14" t="n"/>
      <c r="C11" s="14" t="n"/>
      <c r="D11" s="14" t="n"/>
      <c r="E11" s="14" t="n"/>
      <c r="F11" s="14" t="n"/>
      <c r="G11" s="14" t="n"/>
      <c r="H11" s="15" t="n"/>
      <c r="I11" s="15" t="n"/>
      <c r="J11" s="14" t="n"/>
      <c r="K11" s="16">
        <f>IFERROR(VLOOKUP(A11,Precios!$A$5:$C$14,2,FALSE()),"")</f>
        <v/>
      </c>
      <c r="L11" s="16">
        <f>IFERROR(VLOOKUP(A11,Precios!$A$5:$C$14,3,FALSE()),"")</f>
        <v/>
      </c>
      <c r="M11" s="16">
        <f>IF(AND(K11&lt;&gt;"",L11&lt;&gt;""),L11-K11,"")</f>
        <v/>
      </c>
      <c r="N11" s="14">
        <f>IF(AND(H11&lt;&gt;"",I11&lt;&gt;""),I11-H11,"")</f>
        <v/>
      </c>
      <c r="O11" s="14">
        <f>IF(I11&lt;&gt;"",I11-TODAY(),"")</f>
        <v/>
      </c>
      <c r="P11" s="15">
        <f>IF(I11="","",IF(J11="Anual",I11+365,I11+30))</f>
        <v/>
      </c>
      <c r="Q11" s="14">
        <f>IF(I11="","",IF(O11&lt;0,"Vencida",IF(O11&lt;=3,"Por vencer","Activa")))</f>
        <v/>
      </c>
      <c r="R11" s="14" t="n"/>
      <c r="S11" s="14">
        <f>IF(OR(E11="",I11=""),"",HYPERLINK(IF(F11&lt;&gt;"","https://wa.me/"&amp;SUBSTITUTE(SUBSTITUTE(SUBSTITUTE(F11,"+",""),"-","")," ","")&amp;"?text="&amp;SUBSTITUTE(SUBSTITUTE("Hola "&amp;E11&amp;", tu cuenta de "&amp;A11&amp;" vence el "&amp;TEXT(I11,"dd/mm/yyyy")&amp;". Deseas renovarla?"," ","%20"),"?","%3F"),"https://api.whatsapp.com/send?text="&amp;SUBSTITUTE(SUBSTITUTE("Hola "&amp;E11&amp;", tu cuenta de "&amp;A11&amp;" vence el "&amp;TEXT(I11,"dd/mm/yyyy")&amp;". Deseas renovarla?"," ","%20"),"?","%3F")),"Enviar recordatorio"))</f>
        <v/>
      </c>
      <c r="T11" s="14" t="n"/>
    </row>
    <row r="12" ht="15" customHeight="1" s="28">
      <c r="A12" s="14" t="n"/>
      <c r="B12" s="14" t="n"/>
      <c r="C12" s="14" t="n"/>
      <c r="D12" s="14" t="n"/>
      <c r="E12" s="14" t="n"/>
      <c r="F12" s="14" t="n"/>
      <c r="G12" s="14" t="n"/>
      <c r="H12" s="15" t="n"/>
      <c r="I12" s="15" t="n"/>
      <c r="J12" s="14" t="n"/>
      <c r="K12" s="16">
        <f>IFERROR(VLOOKUP(A12,Precios!$A$5:$C$14,2,FALSE()),"")</f>
        <v/>
      </c>
      <c r="L12" s="16">
        <f>IFERROR(VLOOKUP(A12,Precios!$A$5:$C$14,3,FALSE()),"")</f>
        <v/>
      </c>
      <c r="M12" s="16">
        <f>IF(AND(K12&lt;&gt;"",L12&lt;&gt;""),L12-K12,"")</f>
        <v/>
      </c>
      <c r="N12" s="14">
        <f>IF(AND(H12&lt;&gt;"",I12&lt;&gt;""),I12-H12,"")</f>
        <v/>
      </c>
      <c r="O12" s="14">
        <f>IF(I12&lt;&gt;"",I12-TODAY(),"")</f>
        <v/>
      </c>
      <c r="P12" s="15">
        <f>IF(I12="","",IF(J12="Anual",I12+365,I12+30))</f>
        <v/>
      </c>
      <c r="Q12" s="14">
        <f>IF(I12="","",IF(O12&lt;0,"Vencida",IF(O12&lt;=3,"Por vencer","Activa")))</f>
        <v/>
      </c>
      <c r="R12" s="14" t="n"/>
      <c r="S12" s="14">
        <f>IF(OR(E12="",I12=""),"",HYPERLINK(IF(F12&lt;&gt;"","https://wa.me/"&amp;SUBSTITUTE(SUBSTITUTE(SUBSTITUTE(F12,"+",""),"-","")," ","")&amp;"?text="&amp;SUBSTITUTE(SUBSTITUTE("Hola "&amp;E12&amp;", tu cuenta de "&amp;A12&amp;" vence el "&amp;TEXT(I12,"dd/mm/yyyy")&amp;". Deseas renovarla?"," ","%20"),"?","%3F"),"https://api.whatsapp.com/send?text="&amp;SUBSTITUTE(SUBSTITUTE("Hola "&amp;E12&amp;", tu cuenta de "&amp;A12&amp;" vence el "&amp;TEXT(I12,"dd/mm/yyyy")&amp;". Deseas renovarla?"," ","%20"),"?","%3F")),"Enviar recordatorio"))</f>
        <v/>
      </c>
      <c r="T12" s="14" t="n"/>
    </row>
    <row r="13" ht="15" customHeight="1" s="28">
      <c r="A13" s="14" t="n"/>
      <c r="B13" s="14" t="n"/>
      <c r="C13" s="14" t="n"/>
      <c r="D13" s="14" t="n"/>
      <c r="E13" s="14" t="n"/>
      <c r="F13" s="14" t="n"/>
      <c r="G13" s="14" t="n"/>
      <c r="H13" s="15" t="n"/>
      <c r="I13" s="15" t="n"/>
      <c r="J13" s="14" t="n"/>
      <c r="K13" s="16">
        <f>IFERROR(VLOOKUP(A13,Precios!$A$5:$C$14,2,FALSE()),"")</f>
        <v/>
      </c>
      <c r="L13" s="16">
        <f>IFERROR(VLOOKUP(A13,Precios!$A$5:$C$14,3,FALSE()),"")</f>
        <v/>
      </c>
      <c r="M13" s="16">
        <f>IF(AND(K13&lt;&gt;"",L13&lt;&gt;""),L13-K13,"")</f>
        <v/>
      </c>
      <c r="N13" s="14">
        <f>IF(AND(H13&lt;&gt;"",I13&lt;&gt;""),I13-H13,"")</f>
        <v/>
      </c>
      <c r="O13" s="14">
        <f>IF(I13&lt;&gt;"",I13-TODAY(),"")</f>
        <v/>
      </c>
      <c r="P13" s="15">
        <f>IF(I13="","",IF(J13="Anual",I13+365,I13+30))</f>
        <v/>
      </c>
      <c r="Q13" s="14">
        <f>IF(I13="","",IF(O13&lt;0,"Vencida",IF(O13&lt;=3,"Por vencer","Activa")))</f>
        <v/>
      </c>
      <c r="R13" s="14" t="n"/>
      <c r="S13" s="14">
        <f>IF(OR(E13="",I13=""),"",HYPERLINK(IF(F13&lt;&gt;"","https://wa.me/"&amp;SUBSTITUTE(SUBSTITUTE(SUBSTITUTE(F13,"+",""),"-","")," ","")&amp;"?text="&amp;SUBSTITUTE(SUBSTITUTE("Hola "&amp;E13&amp;", tu cuenta de "&amp;A13&amp;" vence el "&amp;TEXT(I13,"dd/mm/yyyy")&amp;". Deseas renovarla?"," ","%20"),"?","%3F"),"https://api.whatsapp.com/send?text="&amp;SUBSTITUTE(SUBSTITUTE("Hola "&amp;E13&amp;", tu cuenta de "&amp;A13&amp;" vence el "&amp;TEXT(I13,"dd/mm/yyyy")&amp;". Deseas renovarla?"," ","%20"),"?","%3F")),"Enviar recordatorio"))</f>
        <v/>
      </c>
      <c r="T13" s="14" t="n"/>
    </row>
    <row r="14" ht="15" customHeight="1" s="28">
      <c r="A14" s="14" t="n"/>
      <c r="B14" s="14" t="n"/>
      <c r="C14" s="14" t="n"/>
      <c r="D14" s="14" t="n"/>
      <c r="E14" s="14" t="n"/>
      <c r="F14" s="14" t="n"/>
      <c r="G14" s="14" t="n"/>
      <c r="H14" s="15" t="n"/>
      <c r="I14" s="15" t="n"/>
      <c r="J14" s="14" t="n"/>
      <c r="K14" s="16">
        <f>IFERROR(VLOOKUP(A14,Precios!$A$5:$C$14,2,FALSE()),"")</f>
        <v/>
      </c>
      <c r="L14" s="16">
        <f>IFERROR(VLOOKUP(A14,Precios!$A$5:$C$14,3,FALSE()),"")</f>
        <v/>
      </c>
      <c r="M14" s="16">
        <f>IF(AND(K14&lt;&gt;"",L14&lt;&gt;""),L14-K14,"")</f>
        <v/>
      </c>
      <c r="N14" s="14">
        <f>IF(AND(H14&lt;&gt;"",I14&lt;&gt;""),I14-H14,"")</f>
        <v/>
      </c>
      <c r="O14" s="14">
        <f>IF(I14&lt;&gt;"",I14-TODAY(),"")</f>
        <v/>
      </c>
      <c r="P14" s="15">
        <f>IF(I14="","",IF(J14="Anual",I14+365,I14+30))</f>
        <v/>
      </c>
      <c r="Q14" s="14">
        <f>IF(I14="","",IF(O14&lt;0,"Vencida",IF(O14&lt;=3,"Por vencer","Activa")))</f>
        <v/>
      </c>
      <c r="R14" s="14" t="n"/>
      <c r="S14" s="14">
        <f>IF(OR(E14="",I14=""),"",HYPERLINK(IF(F14&lt;&gt;"","https://wa.me/"&amp;SUBSTITUTE(SUBSTITUTE(SUBSTITUTE(F14,"+",""),"-","")," ","")&amp;"?text="&amp;SUBSTITUTE(SUBSTITUTE("Hola "&amp;E14&amp;", tu cuenta de "&amp;A14&amp;" vence el "&amp;TEXT(I14,"dd/mm/yyyy")&amp;". Deseas renovarla?"," ","%20"),"?","%3F"),"https://api.whatsapp.com/send?text="&amp;SUBSTITUTE(SUBSTITUTE("Hola "&amp;E14&amp;", tu cuenta de "&amp;A14&amp;" vence el "&amp;TEXT(I14,"dd/mm/yyyy")&amp;". Deseas renovarla?"," ","%20"),"?","%3F")),"Enviar recordatorio"))</f>
        <v/>
      </c>
      <c r="T14" s="14" t="n"/>
    </row>
    <row r="15" ht="15" customHeight="1" s="28">
      <c r="A15" s="14" t="n"/>
      <c r="B15" s="14" t="n"/>
      <c r="C15" s="14" t="n"/>
      <c r="D15" s="14" t="n"/>
      <c r="E15" s="14" t="n"/>
      <c r="F15" s="14" t="n"/>
      <c r="G15" s="14" t="n"/>
      <c r="H15" s="15" t="n"/>
      <c r="I15" s="15" t="n"/>
      <c r="J15" s="14" t="n"/>
      <c r="K15" s="16">
        <f>IFERROR(VLOOKUP(A15,Precios!$A$5:$C$14,2,FALSE()),"")</f>
        <v/>
      </c>
      <c r="L15" s="16">
        <f>IFERROR(VLOOKUP(A15,Precios!$A$5:$C$14,3,FALSE()),"")</f>
        <v/>
      </c>
      <c r="M15" s="16">
        <f>IF(AND(K15&lt;&gt;"",L15&lt;&gt;""),L15-K15,"")</f>
        <v/>
      </c>
      <c r="N15" s="14">
        <f>IF(AND(H15&lt;&gt;"",I15&lt;&gt;""),I15-H15,"")</f>
        <v/>
      </c>
      <c r="O15" s="14">
        <f>IF(I15&lt;&gt;"",I15-TODAY(),"")</f>
        <v/>
      </c>
      <c r="P15" s="15">
        <f>IF(I15="","",IF(J15="Anual",I15+365,I15+30))</f>
        <v/>
      </c>
      <c r="Q15" s="14">
        <f>IF(I15="","",IF(O15&lt;0,"Vencida",IF(O15&lt;=3,"Por vencer","Activa")))</f>
        <v/>
      </c>
      <c r="R15" s="14" t="n"/>
      <c r="S15" s="14">
        <f>IF(OR(E15="",I15=""),"",HYPERLINK(IF(F15&lt;&gt;"","https://wa.me/"&amp;SUBSTITUTE(SUBSTITUTE(SUBSTITUTE(F15,"+",""),"-","")," ","")&amp;"?text="&amp;SUBSTITUTE(SUBSTITUTE("Hola "&amp;E15&amp;", tu cuenta de "&amp;A15&amp;" vence el "&amp;TEXT(I15,"dd/mm/yyyy")&amp;". Deseas renovarla?"," ","%20"),"?","%3F"),"https://api.whatsapp.com/send?text="&amp;SUBSTITUTE(SUBSTITUTE("Hola "&amp;E15&amp;", tu cuenta de "&amp;A15&amp;" vence el "&amp;TEXT(I15,"dd/mm/yyyy")&amp;". Deseas renovarla?"," ","%20"),"?","%3F")),"Enviar recordatorio"))</f>
        <v/>
      </c>
      <c r="T15" s="14" t="n"/>
    </row>
    <row r="16" ht="15" customHeight="1" s="28">
      <c r="A16" s="14" t="n"/>
      <c r="B16" s="14" t="n"/>
      <c r="C16" s="14" t="n"/>
      <c r="D16" s="14" t="n"/>
      <c r="E16" s="14" t="n"/>
      <c r="F16" s="14" t="n"/>
      <c r="G16" s="14" t="n"/>
      <c r="H16" s="15" t="n"/>
      <c r="I16" s="15" t="n"/>
      <c r="J16" s="14" t="n"/>
      <c r="K16" s="16">
        <f>IFERROR(VLOOKUP(A16,Precios!$A$5:$C$14,2,FALSE()),"")</f>
        <v/>
      </c>
      <c r="L16" s="16">
        <f>IFERROR(VLOOKUP(A16,Precios!$A$5:$C$14,3,FALSE()),"")</f>
        <v/>
      </c>
      <c r="M16" s="16">
        <f>IF(AND(K16&lt;&gt;"",L16&lt;&gt;""),L16-K16,"")</f>
        <v/>
      </c>
      <c r="N16" s="14">
        <f>IF(AND(H16&lt;&gt;"",I16&lt;&gt;""),I16-H16,"")</f>
        <v/>
      </c>
      <c r="O16" s="14">
        <f>IF(I16&lt;&gt;"",I16-TODAY(),"")</f>
        <v/>
      </c>
      <c r="P16" s="15">
        <f>IF(I16="","",IF(J16="Anual",I16+365,I16+30))</f>
        <v/>
      </c>
      <c r="Q16" s="14">
        <f>IF(I16="","",IF(O16&lt;0,"Vencida",IF(O16&lt;=3,"Por vencer","Activa")))</f>
        <v/>
      </c>
      <c r="R16" s="14" t="n"/>
      <c r="S16" s="14">
        <f>IF(OR(E16="",I16=""),"",HYPERLINK(IF(F16&lt;&gt;"","https://wa.me/"&amp;SUBSTITUTE(SUBSTITUTE(SUBSTITUTE(F16,"+",""),"-","")," ","")&amp;"?text="&amp;SUBSTITUTE(SUBSTITUTE("Hola "&amp;E16&amp;", tu cuenta de "&amp;A16&amp;" vence el "&amp;TEXT(I16,"dd/mm/yyyy")&amp;". Deseas renovarla?"," ","%20"),"?","%3F"),"https://api.whatsapp.com/send?text="&amp;SUBSTITUTE(SUBSTITUTE("Hola "&amp;E16&amp;", tu cuenta de "&amp;A16&amp;" vence el "&amp;TEXT(I16,"dd/mm/yyyy")&amp;". Deseas renovarla?"," ","%20"),"?","%3F")),"Enviar recordatorio"))</f>
        <v/>
      </c>
      <c r="T16" s="14" t="n"/>
    </row>
    <row r="17" ht="15" customHeight="1" s="28">
      <c r="A17" s="14" t="n"/>
      <c r="B17" s="14" t="n"/>
      <c r="C17" s="14" t="n"/>
      <c r="D17" s="14" t="n"/>
      <c r="E17" s="14" t="n"/>
      <c r="F17" s="14" t="n"/>
      <c r="G17" s="14" t="n"/>
      <c r="H17" s="15" t="n"/>
      <c r="I17" s="15" t="n"/>
      <c r="J17" s="14" t="n"/>
      <c r="K17" s="16">
        <f>IFERROR(VLOOKUP(A17,Precios!$A$5:$C$14,2,FALSE()),"")</f>
        <v/>
      </c>
      <c r="L17" s="16">
        <f>IFERROR(VLOOKUP(A17,Precios!$A$5:$C$14,3,FALSE()),"")</f>
        <v/>
      </c>
      <c r="M17" s="16">
        <f>IF(AND(K17&lt;&gt;"",L17&lt;&gt;""),L17-K17,"")</f>
        <v/>
      </c>
      <c r="N17" s="14">
        <f>IF(AND(H17&lt;&gt;"",I17&lt;&gt;""),I17-H17,"")</f>
        <v/>
      </c>
      <c r="O17" s="14">
        <f>IF(I17&lt;&gt;"",I17-TODAY(),"")</f>
        <v/>
      </c>
      <c r="P17" s="15">
        <f>IF(I17="","",IF(J17="Anual",I17+365,I17+30))</f>
        <v/>
      </c>
      <c r="Q17" s="14">
        <f>IF(I17="","",IF(O17&lt;0,"Vencida",IF(O17&lt;=3,"Por vencer","Activa")))</f>
        <v/>
      </c>
      <c r="R17" s="14" t="n"/>
      <c r="S17" s="14">
        <f>IF(OR(E17="",I17=""),"",HYPERLINK(IF(F17&lt;&gt;"","https://wa.me/"&amp;SUBSTITUTE(SUBSTITUTE(SUBSTITUTE(F17,"+",""),"-","")," ","")&amp;"?text="&amp;SUBSTITUTE(SUBSTITUTE("Hola "&amp;E17&amp;", tu cuenta de "&amp;A17&amp;" vence el "&amp;TEXT(I17,"dd/mm/yyyy")&amp;". Deseas renovarla?"," ","%20"),"?","%3F"),"https://api.whatsapp.com/send?text="&amp;SUBSTITUTE(SUBSTITUTE("Hola "&amp;E17&amp;", tu cuenta de "&amp;A17&amp;" vence el "&amp;TEXT(I17,"dd/mm/yyyy")&amp;". Deseas renovarla?"," ","%20"),"?","%3F")),"Enviar recordatorio"))</f>
        <v/>
      </c>
      <c r="T17" s="14" t="n"/>
    </row>
    <row r="18" ht="15" customHeight="1" s="28">
      <c r="A18" s="14" t="n"/>
      <c r="B18" s="14" t="n"/>
      <c r="C18" s="14" t="n"/>
      <c r="D18" s="14" t="n"/>
      <c r="E18" s="14" t="n"/>
      <c r="F18" s="14" t="n"/>
      <c r="G18" s="14" t="n"/>
      <c r="H18" s="15" t="n"/>
      <c r="I18" s="15" t="n"/>
      <c r="J18" s="14" t="n"/>
      <c r="K18" s="16">
        <f>IFERROR(VLOOKUP(A18,Precios!$A$5:$C$14,2,FALSE()),"")</f>
        <v/>
      </c>
      <c r="L18" s="16">
        <f>IFERROR(VLOOKUP(A18,Precios!$A$5:$C$14,3,FALSE()),"")</f>
        <v/>
      </c>
      <c r="M18" s="16">
        <f>IF(AND(K18&lt;&gt;"",L18&lt;&gt;""),L18-K18,"")</f>
        <v/>
      </c>
      <c r="N18" s="14">
        <f>IF(AND(H18&lt;&gt;"",I18&lt;&gt;""),I18-H18,"")</f>
        <v/>
      </c>
      <c r="O18" s="14">
        <f>IF(I18&lt;&gt;"",I18-TODAY(),"")</f>
        <v/>
      </c>
      <c r="P18" s="15">
        <f>IF(I18="","",IF(J18="Anual",I18+365,I18+30))</f>
        <v/>
      </c>
      <c r="Q18" s="14">
        <f>IF(I18="","",IF(O18&lt;0,"Vencida",IF(O18&lt;=3,"Por vencer","Activa")))</f>
        <v/>
      </c>
      <c r="R18" s="14" t="n"/>
      <c r="S18" s="14">
        <f>IF(OR(E18="",I18=""),"",HYPERLINK(IF(F18&lt;&gt;"","https://wa.me/"&amp;SUBSTITUTE(SUBSTITUTE(SUBSTITUTE(F18,"+",""),"-","")," ","")&amp;"?text="&amp;SUBSTITUTE(SUBSTITUTE("Hola "&amp;E18&amp;", tu cuenta de "&amp;A18&amp;" vence el "&amp;TEXT(I18,"dd/mm/yyyy")&amp;". Deseas renovarla?"," ","%20"),"?","%3F"),"https://api.whatsapp.com/send?text="&amp;SUBSTITUTE(SUBSTITUTE("Hola "&amp;E18&amp;", tu cuenta de "&amp;A18&amp;" vence el "&amp;TEXT(I18,"dd/mm/yyyy")&amp;". Deseas renovarla?"," ","%20"),"?","%3F")),"Enviar recordatorio"))</f>
        <v/>
      </c>
      <c r="T18" s="14" t="n"/>
    </row>
    <row r="19" ht="15" customHeight="1" s="28">
      <c r="A19" s="14" t="n"/>
      <c r="B19" s="14" t="n"/>
      <c r="C19" s="14" t="n"/>
      <c r="D19" s="14" t="n"/>
      <c r="E19" s="14" t="n"/>
      <c r="F19" s="14" t="n"/>
      <c r="G19" s="14" t="n"/>
      <c r="H19" s="15" t="n"/>
      <c r="I19" s="15" t="n"/>
      <c r="J19" s="14" t="n"/>
      <c r="K19" s="16">
        <f>IFERROR(VLOOKUP(A19,Precios!$A$5:$C$14,2,FALSE()),"")</f>
        <v/>
      </c>
      <c r="L19" s="16">
        <f>IFERROR(VLOOKUP(A19,Precios!$A$5:$C$14,3,FALSE()),"")</f>
        <v/>
      </c>
      <c r="M19" s="16">
        <f>IF(AND(K19&lt;&gt;"",L19&lt;&gt;""),L19-K19,"")</f>
        <v/>
      </c>
      <c r="N19" s="14">
        <f>IF(AND(H19&lt;&gt;"",I19&lt;&gt;""),I19-H19,"")</f>
        <v/>
      </c>
      <c r="O19" s="14">
        <f>IF(I19&lt;&gt;"",I19-TODAY(),"")</f>
        <v/>
      </c>
      <c r="P19" s="15">
        <f>IF(I19="","",IF(J19="Anual",I19+365,I19+30))</f>
        <v/>
      </c>
      <c r="Q19" s="14">
        <f>IF(I19="","",IF(O19&lt;0,"Vencida",IF(O19&lt;=3,"Por vencer","Activa")))</f>
        <v/>
      </c>
      <c r="R19" s="14" t="n"/>
      <c r="S19" s="14">
        <f>IF(OR(E19="",I19=""),"",HYPERLINK(IF(F19&lt;&gt;"","https://wa.me/"&amp;SUBSTITUTE(SUBSTITUTE(SUBSTITUTE(F19,"+",""),"-","")," ","")&amp;"?text="&amp;SUBSTITUTE(SUBSTITUTE("Hola "&amp;E19&amp;", tu cuenta de "&amp;A19&amp;" vence el "&amp;TEXT(I19,"dd/mm/yyyy")&amp;". Deseas renovarla?"," ","%20"),"?","%3F"),"https://api.whatsapp.com/send?text="&amp;SUBSTITUTE(SUBSTITUTE("Hola "&amp;E19&amp;", tu cuenta de "&amp;A19&amp;" vence el "&amp;TEXT(I19,"dd/mm/yyyy")&amp;". Deseas renovarla?"," ","%20"),"?","%3F")),"Enviar recordatorio"))</f>
        <v/>
      </c>
      <c r="T19" s="14" t="n"/>
    </row>
    <row r="20" ht="15" customHeight="1" s="28">
      <c r="A20" s="14" t="n"/>
      <c r="B20" s="14" t="n"/>
      <c r="C20" s="14" t="n"/>
      <c r="D20" s="14" t="n"/>
      <c r="E20" s="14" t="n"/>
      <c r="F20" s="14" t="n"/>
      <c r="G20" s="14" t="n"/>
      <c r="H20" s="15" t="n"/>
      <c r="I20" s="15" t="n"/>
      <c r="J20" s="14" t="n"/>
      <c r="K20" s="16">
        <f>IFERROR(VLOOKUP(A20,Precios!$A$5:$C$14,2,FALSE()),"")</f>
        <v/>
      </c>
      <c r="L20" s="16">
        <f>IFERROR(VLOOKUP(A20,Precios!$A$5:$C$14,3,FALSE()),"")</f>
        <v/>
      </c>
      <c r="M20" s="16">
        <f>IF(AND(K20&lt;&gt;"",L20&lt;&gt;""),L20-K20,"")</f>
        <v/>
      </c>
      <c r="N20" s="14">
        <f>IF(AND(H20&lt;&gt;"",I20&lt;&gt;""),I20-H20,"")</f>
        <v/>
      </c>
      <c r="O20" s="14">
        <f>IF(I20&lt;&gt;"",I20-TODAY(),"")</f>
        <v/>
      </c>
      <c r="P20" s="15">
        <f>IF(I20="","",IF(J20="Anual",I20+365,I20+30))</f>
        <v/>
      </c>
      <c r="Q20" s="14">
        <f>IF(I20="","",IF(O20&lt;0,"Vencida",IF(O20&lt;=3,"Por vencer","Activa")))</f>
        <v/>
      </c>
      <c r="R20" s="14" t="n"/>
      <c r="S20" s="14">
        <f>IF(OR(E20="",I20=""),"",HYPERLINK(IF(F20&lt;&gt;"","https://wa.me/"&amp;SUBSTITUTE(SUBSTITUTE(SUBSTITUTE(F20,"+",""),"-","")," ","")&amp;"?text="&amp;SUBSTITUTE(SUBSTITUTE("Hola "&amp;E20&amp;", tu cuenta de "&amp;A20&amp;" vence el "&amp;TEXT(I20,"dd/mm/yyyy")&amp;". Deseas renovarla?"," ","%20"),"?","%3F"),"https://api.whatsapp.com/send?text="&amp;SUBSTITUTE(SUBSTITUTE("Hola "&amp;E20&amp;", tu cuenta de "&amp;A20&amp;" vence el "&amp;TEXT(I20,"dd/mm/yyyy")&amp;". Deseas renovarla?"," ","%20"),"?","%3F")),"Enviar recordatorio"))</f>
        <v/>
      </c>
      <c r="T20" s="14" t="n"/>
    </row>
    <row r="21" ht="15" customHeight="1" s="28">
      <c r="A21" s="14" t="n"/>
      <c r="B21" s="14" t="n"/>
      <c r="C21" s="14" t="n"/>
      <c r="D21" s="14" t="n"/>
      <c r="E21" s="14" t="n"/>
      <c r="F21" s="14" t="n"/>
      <c r="G21" s="14" t="n"/>
      <c r="H21" s="15" t="n"/>
      <c r="I21" s="15" t="n"/>
      <c r="J21" s="14" t="n"/>
      <c r="K21" s="16">
        <f>IFERROR(VLOOKUP(A21,Precios!$A$5:$C$14,2,FALSE()),"")</f>
        <v/>
      </c>
      <c r="L21" s="16">
        <f>IFERROR(VLOOKUP(A21,Precios!$A$5:$C$14,3,FALSE()),"")</f>
        <v/>
      </c>
      <c r="M21" s="16">
        <f>IF(AND(K21&lt;&gt;"",L21&lt;&gt;""),L21-K21,"")</f>
        <v/>
      </c>
      <c r="N21" s="14">
        <f>IF(AND(H21&lt;&gt;"",I21&lt;&gt;""),I21-H21,"")</f>
        <v/>
      </c>
      <c r="O21" s="14">
        <f>IF(I21&lt;&gt;"",I21-TODAY(),"")</f>
        <v/>
      </c>
      <c r="P21" s="15">
        <f>IF(I21="","",IF(J21="Anual",I21+365,I21+30))</f>
        <v/>
      </c>
      <c r="Q21" s="14">
        <f>IF(I21="","",IF(O21&lt;0,"Vencida",IF(O21&lt;=3,"Por vencer","Activa")))</f>
        <v/>
      </c>
      <c r="R21" s="14" t="n"/>
      <c r="S21" s="14">
        <f>IF(OR(E21="",I21=""),"",HYPERLINK(IF(F21&lt;&gt;"","https://wa.me/"&amp;SUBSTITUTE(SUBSTITUTE(SUBSTITUTE(F21,"+",""),"-","")," ","")&amp;"?text="&amp;SUBSTITUTE(SUBSTITUTE("Hola "&amp;E21&amp;", tu cuenta de "&amp;A21&amp;" vence el "&amp;TEXT(I21,"dd/mm/yyyy")&amp;". Deseas renovarla?"," ","%20"),"?","%3F"),"https://api.whatsapp.com/send?text="&amp;SUBSTITUTE(SUBSTITUTE("Hola "&amp;E21&amp;", tu cuenta de "&amp;A21&amp;" vence el "&amp;TEXT(I21,"dd/mm/yyyy")&amp;". Deseas renovarla?"," ","%20"),"?","%3F")),"Enviar recordatorio"))</f>
        <v/>
      </c>
      <c r="T21" s="14" t="n"/>
    </row>
    <row r="22" ht="15" customHeight="1" s="28">
      <c r="A22" s="14" t="n"/>
      <c r="B22" s="14" t="n"/>
      <c r="C22" s="14" t="n"/>
      <c r="D22" s="14" t="n"/>
      <c r="E22" s="14" t="n"/>
      <c r="F22" s="14" t="n"/>
      <c r="G22" s="14" t="n"/>
      <c r="H22" s="15" t="n"/>
      <c r="I22" s="15" t="n"/>
      <c r="J22" s="14" t="n"/>
      <c r="K22" s="16">
        <f>IFERROR(VLOOKUP(A22,Precios!$A$5:$C$14,2,FALSE()),"")</f>
        <v/>
      </c>
      <c r="L22" s="16">
        <f>IFERROR(VLOOKUP(A22,Precios!$A$5:$C$14,3,FALSE()),"")</f>
        <v/>
      </c>
      <c r="M22" s="16">
        <f>IF(AND(K22&lt;&gt;"",L22&lt;&gt;""),L22-K22,"")</f>
        <v/>
      </c>
      <c r="N22" s="14">
        <f>IF(AND(H22&lt;&gt;"",I22&lt;&gt;""),I22-H22,"")</f>
        <v/>
      </c>
      <c r="O22" s="14">
        <f>IF(I22&lt;&gt;"",I22-TODAY(),"")</f>
        <v/>
      </c>
      <c r="P22" s="15">
        <f>IF(I22="","",IF(J22="Anual",I22+365,I22+30))</f>
        <v/>
      </c>
      <c r="Q22" s="14">
        <f>IF(I22="","",IF(O22&lt;0,"Vencida",IF(O22&lt;=3,"Por vencer","Activa")))</f>
        <v/>
      </c>
      <c r="R22" s="14" t="n"/>
      <c r="S22" s="14">
        <f>IF(OR(E22="",I22=""),"",HYPERLINK(IF(F22&lt;&gt;"","https://wa.me/"&amp;SUBSTITUTE(SUBSTITUTE(SUBSTITUTE(F22,"+",""),"-","")," ","")&amp;"?text="&amp;SUBSTITUTE(SUBSTITUTE("Hola "&amp;E22&amp;", tu cuenta de "&amp;A22&amp;" vence el "&amp;TEXT(I22,"dd/mm/yyyy")&amp;". Deseas renovarla?"," ","%20"),"?","%3F"),"https://api.whatsapp.com/send?text="&amp;SUBSTITUTE(SUBSTITUTE("Hola "&amp;E22&amp;", tu cuenta de "&amp;A22&amp;" vence el "&amp;TEXT(I22,"dd/mm/yyyy")&amp;". Deseas renovarla?"," ","%20"),"?","%3F")),"Enviar recordatorio"))</f>
        <v/>
      </c>
      <c r="T22" s="14" t="n"/>
    </row>
    <row r="23" ht="15" customHeight="1" s="28">
      <c r="A23" s="14" t="n"/>
      <c r="B23" s="14" t="n"/>
      <c r="C23" s="14" t="n"/>
      <c r="D23" s="14" t="n"/>
      <c r="E23" s="14" t="n"/>
      <c r="F23" s="14" t="n"/>
      <c r="G23" s="14" t="n"/>
      <c r="H23" s="15" t="n"/>
      <c r="I23" s="15" t="n"/>
      <c r="J23" s="14" t="n"/>
      <c r="K23" s="16">
        <f>IFERROR(VLOOKUP(A23,Precios!$A$5:$C$14,2,FALSE()),"")</f>
        <v/>
      </c>
      <c r="L23" s="16">
        <f>IFERROR(VLOOKUP(A23,Precios!$A$5:$C$14,3,FALSE()),"")</f>
        <v/>
      </c>
      <c r="M23" s="16">
        <f>IF(AND(K23&lt;&gt;"",L23&lt;&gt;""),L23-K23,"")</f>
        <v/>
      </c>
      <c r="N23" s="14">
        <f>IF(AND(H23&lt;&gt;"",I23&lt;&gt;""),I23-H23,"")</f>
        <v/>
      </c>
      <c r="O23" s="14">
        <f>IF(I23&lt;&gt;"",I23-TODAY(),"")</f>
        <v/>
      </c>
      <c r="P23" s="15">
        <f>IF(I23="","",IF(J23="Anual",I23+365,I23+30))</f>
        <v/>
      </c>
      <c r="Q23" s="14">
        <f>IF(I23="","",IF(O23&lt;0,"Vencida",IF(O23&lt;=3,"Por vencer","Activa")))</f>
        <v/>
      </c>
      <c r="R23" s="14" t="n"/>
      <c r="S23" s="14">
        <f>IF(OR(E23="",I23=""),"",HYPERLINK(IF(F23&lt;&gt;"","https://wa.me/"&amp;SUBSTITUTE(SUBSTITUTE(SUBSTITUTE(F23,"+",""),"-","")," ","")&amp;"?text="&amp;SUBSTITUTE(SUBSTITUTE("Hola "&amp;E23&amp;", tu cuenta de "&amp;A23&amp;" vence el "&amp;TEXT(I23,"dd/mm/yyyy")&amp;". Deseas renovarla?"," ","%20"),"?","%3F"),"https://api.whatsapp.com/send?text="&amp;SUBSTITUTE(SUBSTITUTE("Hola "&amp;E23&amp;", tu cuenta de "&amp;A23&amp;" vence el "&amp;TEXT(I23,"dd/mm/yyyy")&amp;". Deseas renovarla?"," ","%20"),"?","%3F")),"Enviar recordatorio"))</f>
        <v/>
      </c>
      <c r="T23" s="14" t="n"/>
    </row>
    <row r="24" ht="15" customHeight="1" s="28">
      <c r="A24" s="14" t="n"/>
      <c r="B24" s="14" t="n"/>
      <c r="C24" s="14" t="n"/>
      <c r="D24" s="14" t="n"/>
      <c r="E24" s="14" t="n"/>
      <c r="F24" s="14" t="n"/>
      <c r="G24" s="14" t="n"/>
      <c r="H24" s="15" t="n"/>
      <c r="I24" s="15" t="n"/>
      <c r="J24" s="14" t="n"/>
      <c r="K24" s="16">
        <f>IFERROR(VLOOKUP(A24,Precios!$A$5:$C$14,2,FALSE()),"")</f>
        <v/>
      </c>
      <c r="L24" s="16">
        <f>IFERROR(VLOOKUP(A24,Precios!$A$5:$C$14,3,FALSE()),"")</f>
        <v/>
      </c>
      <c r="M24" s="16">
        <f>IF(AND(K24&lt;&gt;"",L24&lt;&gt;""),L24-K24,"")</f>
        <v/>
      </c>
      <c r="N24" s="14">
        <f>IF(AND(H24&lt;&gt;"",I24&lt;&gt;""),I24-H24,"")</f>
        <v/>
      </c>
      <c r="O24" s="14">
        <f>IF(I24&lt;&gt;"",I24-TODAY(),"")</f>
        <v/>
      </c>
      <c r="P24" s="15">
        <f>IF(I24="","",IF(J24="Anual",I24+365,I24+30))</f>
        <v/>
      </c>
      <c r="Q24" s="14">
        <f>IF(I24="","",IF(O24&lt;0,"Vencida",IF(O24&lt;=3,"Por vencer","Activa")))</f>
        <v/>
      </c>
      <c r="R24" s="14" t="n"/>
      <c r="S24" s="14">
        <f>IF(OR(E24="",I24=""),"",HYPERLINK(IF(F24&lt;&gt;"","https://wa.me/"&amp;SUBSTITUTE(SUBSTITUTE(SUBSTITUTE(F24,"+",""),"-","")," ","")&amp;"?text="&amp;SUBSTITUTE(SUBSTITUTE("Hola "&amp;E24&amp;", tu cuenta de "&amp;A24&amp;" vence el "&amp;TEXT(I24,"dd/mm/yyyy")&amp;". Deseas renovarla?"," ","%20"),"?","%3F"),"https://api.whatsapp.com/send?text="&amp;SUBSTITUTE(SUBSTITUTE("Hola "&amp;E24&amp;", tu cuenta de "&amp;A24&amp;" vence el "&amp;TEXT(I24,"dd/mm/yyyy")&amp;". Deseas renovarla?"," ","%20"),"?","%3F")),"Enviar recordatorio"))</f>
        <v/>
      </c>
      <c r="T24" s="14" t="n"/>
    </row>
    <row r="25" ht="15" customHeight="1" s="28">
      <c r="A25" s="14" t="n"/>
      <c r="B25" s="14" t="n"/>
      <c r="C25" s="14" t="n"/>
      <c r="D25" s="14" t="n"/>
      <c r="E25" s="14" t="n"/>
      <c r="F25" s="14" t="n"/>
      <c r="G25" s="14" t="n"/>
      <c r="H25" s="15" t="n"/>
      <c r="I25" s="15" t="n"/>
      <c r="J25" s="14" t="n"/>
      <c r="K25" s="16">
        <f>IFERROR(VLOOKUP(A25,Precios!$A$5:$C$14,2,FALSE()),"")</f>
        <v/>
      </c>
      <c r="L25" s="16">
        <f>IFERROR(VLOOKUP(A25,Precios!$A$5:$C$14,3,FALSE()),"")</f>
        <v/>
      </c>
      <c r="M25" s="16">
        <f>IF(AND(K25&lt;&gt;"",L25&lt;&gt;""),L25-K25,"")</f>
        <v/>
      </c>
      <c r="N25" s="14">
        <f>IF(AND(H25&lt;&gt;"",I25&lt;&gt;""),I25-H25,"")</f>
        <v/>
      </c>
      <c r="O25" s="14">
        <f>IF(I25&lt;&gt;"",I25-TODAY(),"")</f>
        <v/>
      </c>
      <c r="P25" s="15">
        <f>IF(I25="","",IF(J25="Anual",I25+365,I25+30))</f>
        <v/>
      </c>
      <c r="Q25" s="14">
        <f>IF(I25="","",IF(O25&lt;0,"Vencida",IF(O25&lt;=3,"Por vencer","Activa")))</f>
        <v/>
      </c>
      <c r="R25" s="14" t="n"/>
      <c r="S25" s="14">
        <f>IF(OR(E25="",I25=""),"",HYPERLINK(IF(F25&lt;&gt;"","https://wa.me/"&amp;SUBSTITUTE(SUBSTITUTE(SUBSTITUTE(F25,"+",""),"-","")," ","")&amp;"?text="&amp;SUBSTITUTE(SUBSTITUTE("Hola "&amp;E25&amp;", tu cuenta de "&amp;A25&amp;" vence el "&amp;TEXT(I25,"dd/mm/yyyy")&amp;". Deseas renovarla?"," ","%20"),"?","%3F"),"https://api.whatsapp.com/send?text="&amp;SUBSTITUTE(SUBSTITUTE("Hola "&amp;E25&amp;", tu cuenta de "&amp;A25&amp;" vence el "&amp;TEXT(I25,"dd/mm/yyyy")&amp;". Deseas renovarla?"," ","%20"),"?","%3F")),"Enviar recordatorio"))</f>
        <v/>
      </c>
      <c r="T25" s="14" t="n"/>
    </row>
    <row r="26" ht="15" customHeight="1" s="28">
      <c r="A26" s="14" t="n"/>
      <c r="B26" s="14" t="n"/>
      <c r="C26" s="14" t="n"/>
      <c r="D26" s="14" t="n"/>
      <c r="E26" s="14" t="n"/>
      <c r="F26" s="14" t="n"/>
      <c r="G26" s="14" t="n"/>
      <c r="H26" s="15" t="n"/>
      <c r="I26" s="15" t="n"/>
      <c r="J26" s="14" t="n"/>
      <c r="K26" s="16">
        <f>IFERROR(VLOOKUP(A26,Precios!$A$5:$C$14,2,FALSE()),"")</f>
        <v/>
      </c>
      <c r="L26" s="16">
        <f>IFERROR(VLOOKUP(A26,Precios!$A$5:$C$14,3,FALSE()),"")</f>
        <v/>
      </c>
      <c r="M26" s="16">
        <f>IF(AND(K26&lt;&gt;"",L26&lt;&gt;""),L26-K26,"")</f>
        <v/>
      </c>
      <c r="N26" s="14">
        <f>IF(AND(H26&lt;&gt;"",I26&lt;&gt;""),I26-H26,"")</f>
        <v/>
      </c>
      <c r="O26" s="14">
        <f>IF(I26&lt;&gt;"",I26-TODAY(),"")</f>
        <v/>
      </c>
      <c r="P26" s="15">
        <f>IF(I26="","",IF(J26="Anual",I26+365,I26+30))</f>
        <v/>
      </c>
      <c r="Q26" s="14">
        <f>IF(I26="","",IF(O26&lt;0,"Vencida",IF(O26&lt;=3,"Por vencer","Activa")))</f>
        <v/>
      </c>
      <c r="R26" s="14" t="n"/>
      <c r="S26" s="14">
        <f>IF(OR(E26="",I26=""),"",HYPERLINK(IF(F26&lt;&gt;"","https://wa.me/"&amp;SUBSTITUTE(SUBSTITUTE(SUBSTITUTE(F26,"+",""),"-","")," ","")&amp;"?text="&amp;SUBSTITUTE(SUBSTITUTE("Hola "&amp;E26&amp;", tu cuenta de "&amp;A26&amp;" vence el "&amp;TEXT(I26,"dd/mm/yyyy")&amp;". Deseas renovarla?"," ","%20"),"?","%3F"),"https://api.whatsapp.com/send?text="&amp;SUBSTITUTE(SUBSTITUTE("Hola "&amp;E26&amp;", tu cuenta de "&amp;A26&amp;" vence el "&amp;TEXT(I26,"dd/mm/yyyy")&amp;". Deseas renovarla?"," ","%20"),"?","%3F")),"Enviar recordatorio"))</f>
        <v/>
      </c>
      <c r="T26" s="14" t="n"/>
    </row>
    <row r="27" ht="15" customHeight="1" s="28">
      <c r="A27" s="14" t="n"/>
      <c r="B27" s="14" t="n"/>
      <c r="C27" s="14" t="n"/>
      <c r="D27" s="14" t="n"/>
      <c r="E27" s="14" t="n"/>
      <c r="F27" s="14" t="n"/>
      <c r="G27" s="14" t="n"/>
      <c r="H27" s="15" t="n"/>
      <c r="I27" s="15" t="n"/>
      <c r="J27" s="14" t="n"/>
      <c r="K27" s="16">
        <f>IFERROR(VLOOKUP(A27,Precios!$A$5:$C$14,2,FALSE()),"")</f>
        <v/>
      </c>
      <c r="L27" s="16">
        <f>IFERROR(VLOOKUP(A27,Precios!$A$5:$C$14,3,FALSE()),"")</f>
        <v/>
      </c>
      <c r="M27" s="16">
        <f>IF(AND(K27&lt;&gt;"",L27&lt;&gt;""),L27-K27,"")</f>
        <v/>
      </c>
      <c r="N27" s="14">
        <f>IF(AND(H27&lt;&gt;"",I27&lt;&gt;""),I27-H27,"")</f>
        <v/>
      </c>
      <c r="O27" s="14">
        <f>IF(I27&lt;&gt;"",I27-TODAY(),"")</f>
        <v/>
      </c>
      <c r="P27" s="15">
        <f>IF(I27="","",IF(J27="Anual",I27+365,I27+30))</f>
        <v/>
      </c>
      <c r="Q27" s="14">
        <f>IF(I27="","",IF(O27&lt;0,"Vencida",IF(O27&lt;=3,"Por vencer","Activa")))</f>
        <v/>
      </c>
      <c r="R27" s="14" t="n"/>
      <c r="S27" s="14">
        <f>IF(OR(E27="",I27=""),"",HYPERLINK(IF(F27&lt;&gt;"","https://wa.me/"&amp;SUBSTITUTE(SUBSTITUTE(SUBSTITUTE(F27,"+",""),"-","")," ","")&amp;"?text="&amp;SUBSTITUTE(SUBSTITUTE("Hola "&amp;E27&amp;", tu cuenta de "&amp;A27&amp;" vence el "&amp;TEXT(I27,"dd/mm/yyyy")&amp;". Deseas renovarla?"," ","%20"),"?","%3F"),"https://api.whatsapp.com/send?text="&amp;SUBSTITUTE(SUBSTITUTE("Hola "&amp;E27&amp;", tu cuenta de "&amp;A27&amp;" vence el "&amp;TEXT(I27,"dd/mm/yyyy")&amp;". Deseas renovarla?"," ","%20"),"?","%3F")),"Enviar recordatorio"))</f>
        <v/>
      </c>
      <c r="T27" s="14" t="n"/>
    </row>
    <row r="28" ht="15" customHeight="1" s="28">
      <c r="A28" s="14" t="n"/>
      <c r="B28" s="14" t="n"/>
      <c r="C28" s="14" t="n"/>
      <c r="D28" s="14" t="n"/>
      <c r="E28" s="14" t="n"/>
      <c r="F28" s="14" t="n"/>
      <c r="G28" s="14" t="n"/>
      <c r="H28" s="15" t="n"/>
      <c r="I28" s="15" t="n"/>
      <c r="J28" s="14" t="n"/>
      <c r="K28" s="16">
        <f>IFERROR(VLOOKUP(A28,Precios!$A$5:$C$14,2,FALSE()),"")</f>
        <v/>
      </c>
      <c r="L28" s="16">
        <f>IFERROR(VLOOKUP(A28,Precios!$A$5:$C$14,3,FALSE()),"")</f>
        <v/>
      </c>
      <c r="M28" s="16">
        <f>IF(AND(K28&lt;&gt;"",L28&lt;&gt;""),L28-K28,"")</f>
        <v/>
      </c>
      <c r="N28" s="14">
        <f>IF(AND(H28&lt;&gt;"",I28&lt;&gt;""),I28-H28,"")</f>
        <v/>
      </c>
      <c r="O28" s="14">
        <f>IF(I28&lt;&gt;"",I28-TODAY(),"")</f>
        <v/>
      </c>
      <c r="P28" s="15">
        <f>IF(I28="","",IF(J28="Anual",I28+365,I28+30))</f>
        <v/>
      </c>
      <c r="Q28" s="14">
        <f>IF(I28="","",IF(O28&lt;0,"Vencida",IF(O28&lt;=3,"Por vencer","Activa")))</f>
        <v/>
      </c>
      <c r="R28" s="14" t="n"/>
      <c r="S28" s="14">
        <f>IF(OR(E28="",I28=""),"",HYPERLINK(IF(F28&lt;&gt;"","https://wa.me/"&amp;SUBSTITUTE(SUBSTITUTE(SUBSTITUTE(F28,"+",""),"-","")," ","")&amp;"?text="&amp;SUBSTITUTE(SUBSTITUTE("Hola "&amp;E28&amp;", tu cuenta de "&amp;A28&amp;" vence el "&amp;TEXT(I28,"dd/mm/yyyy")&amp;". Deseas renovarla?"," ","%20"),"?","%3F"),"https://api.whatsapp.com/send?text="&amp;SUBSTITUTE(SUBSTITUTE("Hola "&amp;E28&amp;", tu cuenta de "&amp;A28&amp;" vence el "&amp;TEXT(I28,"dd/mm/yyyy")&amp;". Deseas renovarla?"," ","%20"),"?","%3F")),"Enviar recordatorio"))</f>
        <v/>
      </c>
      <c r="T28" s="14" t="n"/>
    </row>
    <row r="29" ht="15" customHeight="1" s="28">
      <c r="A29" s="14" t="n"/>
      <c r="B29" s="14" t="n"/>
      <c r="C29" s="14" t="n"/>
      <c r="D29" s="14" t="n"/>
      <c r="E29" s="14" t="n"/>
      <c r="F29" s="14" t="n"/>
      <c r="G29" s="14" t="n"/>
      <c r="H29" s="15" t="n"/>
      <c r="I29" s="15" t="n"/>
      <c r="J29" s="14" t="n"/>
      <c r="K29" s="16">
        <f>IFERROR(VLOOKUP(A29,Precios!$A$5:$C$14,2,FALSE()),"")</f>
        <v/>
      </c>
      <c r="L29" s="16">
        <f>IFERROR(VLOOKUP(A29,Precios!$A$5:$C$14,3,FALSE()),"")</f>
        <v/>
      </c>
      <c r="M29" s="16">
        <f>IF(AND(K29&lt;&gt;"",L29&lt;&gt;""),L29-K29,"")</f>
        <v/>
      </c>
      <c r="N29" s="14">
        <f>IF(AND(H29&lt;&gt;"",I29&lt;&gt;""),I29-H29,"")</f>
        <v/>
      </c>
      <c r="O29" s="14">
        <f>IF(I29&lt;&gt;"",I29-TODAY(),"")</f>
        <v/>
      </c>
      <c r="P29" s="15">
        <f>IF(I29="","",IF(J29="Anual",I29+365,I29+30))</f>
        <v/>
      </c>
      <c r="Q29" s="14">
        <f>IF(I29="","",IF(O29&lt;0,"Vencida",IF(O29&lt;=3,"Por vencer","Activa")))</f>
        <v/>
      </c>
      <c r="R29" s="14" t="n"/>
      <c r="S29" s="14">
        <f>IF(OR(E29="",I29=""),"",HYPERLINK(IF(F29&lt;&gt;"","https://wa.me/"&amp;SUBSTITUTE(SUBSTITUTE(SUBSTITUTE(F29,"+",""),"-","")," ","")&amp;"?text="&amp;SUBSTITUTE(SUBSTITUTE("Hola "&amp;E29&amp;", tu cuenta de "&amp;A29&amp;" vence el "&amp;TEXT(I29,"dd/mm/yyyy")&amp;". Deseas renovarla?"," ","%20"),"?","%3F"),"https://api.whatsapp.com/send?text="&amp;SUBSTITUTE(SUBSTITUTE("Hola "&amp;E29&amp;", tu cuenta de "&amp;A29&amp;" vence el "&amp;TEXT(I29,"dd/mm/yyyy")&amp;". Deseas renovarla?"," ","%20"),"?","%3F")),"Enviar recordatorio"))</f>
        <v/>
      </c>
      <c r="T29" s="14" t="n"/>
    </row>
    <row r="30" ht="15" customHeight="1" s="28">
      <c r="A30" s="14" t="n"/>
      <c r="B30" s="14" t="n"/>
      <c r="C30" s="14" t="n"/>
      <c r="D30" s="14" t="n"/>
      <c r="E30" s="14" t="n"/>
      <c r="F30" s="14" t="n"/>
      <c r="G30" s="14" t="n"/>
      <c r="H30" s="15" t="n"/>
      <c r="I30" s="15" t="n"/>
      <c r="J30" s="14" t="n"/>
      <c r="K30" s="16">
        <f>IFERROR(VLOOKUP(A30,Precios!$A$5:$C$14,2,FALSE()),"")</f>
        <v/>
      </c>
      <c r="L30" s="16">
        <f>IFERROR(VLOOKUP(A30,Precios!$A$5:$C$14,3,FALSE()),"")</f>
        <v/>
      </c>
      <c r="M30" s="16">
        <f>IF(AND(K30&lt;&gt;"",L30&lt;&gt;""),L30-K30,"")</f>
        <v/>
      </c>
      <c r="N30" s="14">
        <f>IF(AND(H30&lt;&gt;"",I30&lt;&gt;""),I30-H30,"")</f>
        <v/>
      </c>
      <c r="O30" s="14">
        <f>IF(I30&lt;&gt;"",I30-TODAY(),"")</f>
        <v/>
      </c>
      <c r="P30" s="15">
        <f>IF(I30="","",IF(J30="Anual",I30+365,I30+30))</f>
        <v/>
      </c>
      <c r="Q30" s="14">
        <f>IF(I30="","",IF(O30&lt;0,"Vencida",IF(O30&lt;=3,"Por vencer","Activa")))</f>
        <v/>
      </c>
      <c r="R30" s="14" t="n"/>
      <c r="S30" s="14">
        <f>IF(OR(E30="",I30=""),"",HYPERLINK(IF(F30&lt;&gt;"","https://wa.me/"&amp;SUBSTITUTE(SUBSTITUTE(SUBSTITUTE(F30,"+",""),"-","")," ","")&amp;"?text="&amp;SUBSTITUTE(SUBSTITUTE("Hola "&amp;E30&amp;", tu cuenta de "&amp;A30&amp;" vence el "&amp;TEXT(I30,"dd/mm/yyyy")&amp;". Deseas renovarla?"," ","%20"),"?","%3F"),"https://api.whatsapp.com/send?text="&amp;SUBSTITUTE(SUBSTITUTE("Hola "&amp;E30&amp;", tu cuenta de "&amp;A30&amp;" vence el "&amp;TEXT(I30,"dd/mm/yyyy")&amp;". Deseas renovarla?"," ","%20"),"?","%3F")),"Enviar recordatorio"))</f>
        <v/>
      </c>
      <c r="T30" s="14" t="n"/>
    </row>
    <row r="31" ht="15" customHeight="1" s="28">
      <c r="A31" s="14" t="n"/>
      <c r="B31" s="14" t="n"/>
      <c r="C31" s="14" t="n"/>
      <c r="D31" s="14" t="n"/>
      <c r="E31" s="14" t="n"/>
      <c r="F31" s="14" t="n"/>
      <c r="G31" s="14" t="n"/>
      <c r="H31" s="15" t="n"/>
      <c r="I31" s="15" t="n"/>
      <c r="J31" s="14" t="n"/>
      <c r="K31" s="16">
        <f>IFERROR(VLOOKUP(A31,Precios!$A$5:$C$14,2,FALSE()),"")</f>
        <v/>
      </c>
      <c r="L31" s="16">
        <f>IFERROR(VLOOKUP(A31,Precios!$A$5:$C$14,3,FALSE()),"")</f>
        <v/>
      </c>
      <c r="M31" s="16">
        <f>IF(AND(K31&lt;&gt;"",L31&lt;&gt;""),L31-K31,"")</f>
        <v/>
      </c>
      <c r="N31" s="14">
        <f>IF(AND(H31&lt;&gt;"",I31&lt;&gt;""),I31-H31,"")</f>
        <v/>
      </c>
      <c r="O31" s="14">
        <f>IF(I31&lt;&gt;"",I31-TODAY(),"")</f>
        <v/>
      </c>
      <c r="P31" s="15">
        <f>IF(I31="","",IF(J31="Anual",I31+365,I31+30))</f>
        <v/>
      </c>
      <c r="Q31" s="14">
        <f>IF(I31="","",IF(O31&lt;0,"Vencida",IF(O31&lt;=3,"Por vencer","Activa")))</f>
        <v/>
      </c>
      <c r="R31" s="14" t="n"/>
      <c r="S31" s="14">
        <f>IF(OR(E31="",I31=""),"",HYPERLINK(IF(F31&lt;&gt;"","https://wa.me/"&amp;SUBSTITUTE(SUBSTITUTE(SUBSTITUTE(F31,"+",""),"-","")," ","")&amp;"?text="&amp;SUBSTITUTE(SUBSTITUTE("Hola "&amp;E31&amp;", tu cuenta de "&amp;A31&amp;" vence el "&amp;TEXT(I31,"dd/mm/yyyy")&amp;". Deseas renovarla?"," ","%20"),"?","%3F"),"https://api.whatsapp.com/send?text="&amp;SUBSTITUTE(SUBSTITUTE("Hola "&amp;E31&amp;", tu cuenta de "&amp;A31&amp;" vence el "&amp;TEXT(I31,"dd/mm/yyyy")&amp;". Deseas renovarla?"," ","%20"),"?","%3F")),"Enviar recordatorio"))</f>
        <v/>
      </c>
      <c r="T31" s="14" t="n"/>
    </row>
    <row r="32" ht="15" customHeight="1" s="28">
      <c r="A32" s="14" t="n"/>
      <c r="B32" s="14" t="n"/>
      <c r="C32" s="14" t="n"/>
      <c r="D32" s="14" t="n"/>
      <c r="E32" s="14" t="n"/>
      <c r="F32" s="14" t="n"/>
      <c r="G32" s="14" t="n"/>
      <c r="H32" s="15" t="n"/>
      <c r="I32" s="15" t="n"/>
      <c r="J32" s="14" t="n"/>
      <c r="K32" s="16">
        <f>IFERROR(VLOOKUP(A32,Precios!$A$5:$C$14,2,FALSE()),"")</f>
        <v/>
      </c>
      <c r="L32" s="16">
        <f>IFERROR(VLOOKUP(A32,Precios!$A$5:$C$14,3,FALSE()),"")</f>
        <v/>
      </c>
      <c r="M32" s="16">
        <f>IF(AND(K32&lt;&gt;"",L32&lt;&gt;""),L32-K32,"")</f>
        <v/>
      </c>
      <c r="N32" s="14">
        <f>IF(AND(H32&lt;&gt;"",I32&lt;&gt;""),I32-H32,"")</f>
        <v/>
      </c>
      <c r="O32" s="14">
        <f>IF(I32&lt;&gt;"",I32-TODAY(),"")</f>
        <v/>
      </c>
      <c r="P32" s="15">
        <f>IF(I32="","",IF(J32="Anual",I32+365,I32+30))</f>
        <v/>
      </c>
      <c r="Q32" s="14">
        <f>IF(I32="","",IF(O32&lt;0,"Vencida",IF(O32&lt;=3,"Por vencer","Activa")))</f>
        <v/>
      </c>
      <c r="R32" s="14" t="n"/>
      <c r="S32" s="14">
        <f>IF(OR(E32="",I32=""),"",HYPERLINK(IF(F32&lt;&gt;"","https://wa.me/"&amp;SUBSTITUTE(SUBSTITUTE(SUBSTITUTE(F32,"+",""),"-","")," ","")&amp;"?text="&amp;SUBSTITUTE(SUBSTITUTE("Hola "&amp;E32&amp;", tu cuenta de "&amp;A32&amp;" vence el "&amp;TEXT(I32,"dd/mm/yyyy")&amp;". Deseas renovarla?"," ","%20"),"?","%3F"),"https://api.whatsapp.com/send?text="&amp;SUBSTITUTE(SUBSTITUTE("Hola "&amp;E32&amp;", tu cuenta de "&amp;A32&amp;" vence el "&amp;TEXT(I32,"dd/mm/yyyy")&amp;". Deseas renovarla?"," ","%20"),"?","%3F")),"Enviar recordatorio"))</f>
        <v/>
      </c>
      <c r="T32" s="14" t="n"/>
    </row>
    <row r="33" ht="15" customHeight="1" s="28">
      <c r="A33" s="14" t="n"/>
      <c r="B33" s="14" t="n"/>
      <c r="C33" s="14" t="n"/>
      <c r="D33" s="14" t="n"/>
      <c r="E33" s="14" t="n"/>
      <c r="F33" s="14" t="n"/>
      <c r="G33" s="14" t="n"/>
      <c r="H33" s="15" t="n"/>
      <c r="I33" s="15" t="n"/>
      <c r="J33" s="14" t="n"/>
      <c r="K33" s="16">
        <f>IFERROR(VLOOKUP(A33,Precios!$A$5:$C$14,2,FALSE()),"")</f>
        <v/>
      </c>
      <c r="L33" s="16">
        <f>IFERROR(VLOOKUP(A33,Precios!$A$5:$C$14,3,FALSE()),"")</f>
        <v/>
      </c>
      <c r="M33" s="16">
        <f>IF(AND(K33&lt;&gt;"",L33&lt;&gt;""),L33-K33,"")</f>
        <v/>
      </c>
      <c r="N33" s="14">
        <f>IF(AND(H33&lt;&gt;"",I33&lt;&gt;""),I33-H33,"")</f>
        <v/>
      </c>
      <c r="O33" s="14">
        <f>IF(I33&lt;&gt;"",I33-TODAY(),"")</f>
        <v/>
      </c>
      <c r="P33" s="15">
        <f>IF(I33="","",IF(J33="Anual",I33+365,I33+30))</f>
        <v/>
      </c>
      <c r="Q33" s="14">
        <f>IF(I33="","",IF(O33&lt;0,"Vencida",IF(O33&lt;=3,"Por vencer","Activa")))</f>
        <v/>
      </c>
      <c r="R33" s="14" t="n"/>
      <c r="S33" s="14">
        <f>IF(OR(E33="",I33=""),"",HYPERLINK(IF(F33&lt;&gt;"","https://wa.me/"&amp;SUBSTITUTE(SUBSTITUTE(SUBSTITUTE(F33,"+",""),"-","")," ","")&amp;"?text="&amp;SUBSTITUTE(SUBSTITUTE("Hola "&amp;E33&amp;", tu cuenta de "&amp;A33&amp;" vence el "&amp;TEXT(I33,"dd/mm/yyyy")&amp;". Deseas renovarla?"," ","%20"),"?","%3F"),"https://api.whatsapp.com/send?text="&amp;SUBSTITUTE(SUBSTITUTE("Hola "&amp;E33&amp;", tu cuenta de "&amp;A33&amp;" vence el "&amp;TEXT(I33,"dd/mm/yyyy")&amp;". Deseas renovarla?"," ","%20"),"?","%3F")),"Enviar recordatorio"))</f>
        <v/>
      </c>
      <c r="T33" s="14" t="n"/>
    </row>
    <row r="34" ht="15" customHeight="1" s="28">
      <c r="A34" s="14" t="n"/>
      <c r="B34" s="14" t="n"/>
      <c r="C34" s="14" t="n"/>
      <c r="D34" s="14" t="n"/>
      <c r="E34" s="14" t="n"/>
      <c r="F34" s="14" t="n"/>
      <c r="G34" s="14" t="n"/>
      <c r="H34" s="15" t="n"/>
      <c r="I34" s="15" t="n"/>
      <c r="J34" s="14" t="n"/>
      <c r="K34" s="16">
        <f>IFERROR(VLOOKUP(A34,Precios!$A$5:$C$14,2,FALSE()),"")</f>
        <v/>
      </c>
      <c r="L34" s="16">
        <f>IFERROR(VLOOKUP(A34,Precios!$A$5:$C$14,3,FALSE()),"")</f>
        <v/>
      </c>
      <c r="M34" s="16">
        <f>IF(AND(K34&lt;&gt;"",L34&lt;&gt;""),L34-K34,"")</f>
        <v/>
      </c>
      <c r="N34" s="14">
        <f>IF(AND(H34&lt;&gt;"",I34&lt;&gt;""),I34-H34,"")</f>
        <v/>
      </c>
      <c r="O34" s="14">
        <f>IF(I34&lt;&gt;"",I34-TODAY(),"")</f>
        <v/>
      </c>
      <c r="P34" s="15">
        <f>IF(I34="","",IF(J34="Anual",I34+365,I34+30))</f>
        <v/>
      </c>
      <c r="Q34" s="14">
        <f>IF(I34="","",IF(O34&lt;0,"Vencida",IF(O34&lt;=3,"Por vencer","Activa")))</f>
        <v/>
      </c>
      <c r="R34" s="14" t="n"/>
      <c r="S34" s="14">
        <f>IF(OR(E34="",I34=""),"",HYPERLINK(IF(F34&lt;&gt;"","https://wa.me/"&amp;SUBSTITUTE(SUBSTITUTE(SUBSTITUTE(F34,"+",""),"-","")," ","")&amp;"?text="&amp;SUBSTITUTE(SUBSTITUTE("Hola "&amp;E34&amp;", tu cuenta de "&amp;A34&amp;" vence el "&amp;TEXT(I34,"dd/mm/yyyy")&amp;". Deseas renovarla?"," ","%20"),"?","%3F"),"https://api.whatsapp.com/send?text="&amp;SUBSTITUTE(SUBSTITUTE("Hola "&amp;E34&amp;", tu cuenta de "&amp;A34&amp;" vence el "&amp;TEXT(I34,"dd/mm/yyyy")&amp;". Deseas renovarla?"," ","%20"),"?","%3F")),"Enviar recordatorio"))</f>
        <v/>
      </c>
      <c r="T34" s="14" t="n"/>
    </row>
    <row r="35" ht="15" customHeight="1" s="28">
      <c r="A35" s="14" t="n"/>
      <c r="B35" s="14" t="n"/>
      <c r="C35" s="14" t="n"/>
      <c r="D35" s="14" t="n"/>
      <c r="E35" s="14" t="n"/>
      <c r="F35" s="14" t="n"/>
      <c r="G35" s="14" t="n"/>
      <c r="H35" s="15" t="n"/>
      <c r="I35" s="15" t="n"/>
      <c r="J35" s="14" t="n"/>
      <c r="K35" s="16">
        <f>IFERROR(VLOOKUP(A35,Precios!$A$5:$C$14,2,FALSE()),"")</f>
        <v/>
      </c>
      <c r="L35" s="16">
        <f>IFERROR(VLOOKUP(A35,Precios!$A$5:$C$14,3,FALSE()),"")</f>
        <v/>
      </c>
      <c r="M35" s="16">
        <f>IF(AND(K35&lt;&gt;"",L35&lt;&gt;""),L35-K35,"")</f>
        <v/>
      </c>
      <c r="N35" s="14">
        <f>IF(AND(H35&lt;&gt;"",I35&lt;&gt;""),I35-H35,"")</f>
        <v/>
      </c>
      <c r="O35" s="14">
        <f>IF(I35&lt;&gt;"",I35-TODAY(),"")</f>
        <v/>
      </c>
      <c r="P35" s="15">
        <f>IF(I35="","",IF(J35="Anual",I35+365,I35+30))</f>
        <v/>
      </c>
      <c r="Q35" s="14">
        <f>IF(I35="","",IF(O35&lt;0,"Vencida",IF(O35&lt;=3,"Por vencer","Activa")))</f>
        <v/>
      </c>
      <c r="R35" s="14" t="n"/>
      <c r="S35" s="14">
        <f>IF(OR(E35="",I35=""),"",HYPERLINK(IF(F35&lt;&gt;"","https://wa.me/"&amp;SUBSTITUTE(SUBSTITUTE(SUBSTITUTE(F35,"+",""),"-","")," ","")&amp;"?text="&amp;SUBSTITUTE(SUBSTITUTE("Hola "&amp;E35&amp;", tu cuenta de "&amp;A35&amp;" vence el "&amp;TEXT(I35,"dd/mm/yyyy")&amp;". Deseas renovarla?"," ","%20"),"?","%3F"),"https://api.whatsapp.com/send?text="&amp;SUBSTITUTE(SUBSTITUTE("Hola "&amp;E35&amp;", tu cuenta de "&amp;A35&amp;" vence el "&amp;TEXT(I35,"dd/mm/yyyy")&amp;". Deseas renovarla?"," ","%20"),"?","%3F")),"Enviar recordatorio"))</f>
        <v/>
      </c>
      <c r="T35" s="14" t="n"/>
    </row>
    <row r="36" ht="15" customHeight="1" s="28">
      <c r="A36" s="14" t="n"/>
      <c r="B36" s="14" t="n"/>
      <c r="C36" s="14" t="n"/>
      <c r="D36" s="14" t="n"/>
      <c r="E36" s="14" t="n"/>
      <c r="F36" s="14" t="n"/>
      <c r="G36" s="14" t="n"/>
      <c r="H36" s="15" t="n"/>
      <c r="I36" s="15" t="n"/>
      <c r="J36" s="14" t="n"/>
      <c r="K36" s="16">
        <f>IFERROR(VLOOKUP(A36,Precios!$A$5:$C$14,2,FALSE()),"")</f>
        <v/>
      </c>
      <c r="L36" s="16">
        <f>IFERROR(VLOOKUP(A36,Precios!$A$5:$C$14,3,FALSE()),"")</f>
        <v/>
      </c>
      <c r="M36" s="16">
        <f>IF(AND(K36&lt;&gt;"",L36&lt;&gt;""),L36-K36,"")</f>
        <v/>
      </c>
      <c r="N36" s="14">
        <f>IF(AND(H36&lt;&gt;"",I36&lt;&gt;""),I36-H36,"")</f>
        <v/>
      </c>
      <c r="O36" s="14">
        <f>IF(I36&lt;&gt;"",I36-TODAY(),"")</f>
        <v/>
      </c>
      <c r="P36" s="15">
        <f>IF(I36="","",IF(J36="Anual",I36+365,I36+30))</f>
        <v/>
      </c>
      <c r="Q36" s="14">
        <f>IF(I36="","",IF(O36&lt;0,"Vencida",IF(O36&lt;=3,"Por vencer","Activa")))</f>
        <v/>
      </c>
      <c r="R36" s="14" t="n"/>
      <c r="S36" s="14">
        <f>IF(OR(E36="",I36=""),"",HYPERLINK(IF(F36&lt;&gt;"","https://wa.me/"&amp;SUBSTITUTE(SUBSTITUTE(SUBSTITUTE(F36,"+",""),"-","")," ","")&amp;"?text="&amp;SUBSTITUTE(SUBSTITUTE("Hola "&amp;E36&amp;", tu cuenta de "&amp;A36&amp;" vence el "&amp;TEXT(I36,"dd/mm/yyyy")&amp;". Deseas renovarla?"," ","%20"),"?","%3F"),"https://api.whatsapp.com/send?text="&amp;SUBSTITUTE(SUBSTITUTE("Hola "&amp;E36&amp;", tu cuenta de "&amp;A36&amp;" vence el "&amp;TEXT(I36,"dd/mm/yyyy")&amp;". Deseas renovarla?"," ","%20"),"?","%3F")),"Enviar recordatorio"))</f>
        <v/>
      </c>
      <c r="T36" s="14" t="n"/>
    </row>
    <row r="37" ht="15" customHeight="1" s="28">
      <c r="A37" s="14" t="n"/>
      <c r="B37" s="14" t="n"/>
      <c r="C37" s="14" t="n"/>
      <c r="D37" s="14" t="n"/>
      <c r="E37" s="14" t="n"/>
      <c r="F37" s="14" t="n"/>
      <c r="G37" s="14" t="n"/>
      <c r="H37" s="15" t="n"/>
      <c r="I37" s="15" t="n"/>
      <c r="J37" s="14" t="n"/>
      <c r="K37" s="16">
        <f>IFERROR(VLOOKUP(A37,Precios!$A$5:$C$14,2,FALSE()),"")</f>
        <v/>
      </c>
      <c r="L37" s="16">
        <f>IFERROR(VLOOKUP(A37,Precios!$A$5:$C$14,3,FALSE()),"")</f>
        <v/>
      </c>
      <c r="M37" s="16">
        <f>IF(AND(K37&lt;&gt;"",L37&lt;&gt;""),L37-K37,"")</f>
        <v/>
      </c>
      <c r="N37" s="14">
        <f>IF(AND(H37&lt;&gt;"",I37&lt;&gt;""),I37-H37,"")</f>
        <v/>
      </c>
      <c r="O37" s="14">
        <f>IF(I37&lt;&gt;"",I37-TODAY(),"")</f>
        <v/>
      </c>
      <c r="P37" s="15">
        <f>IF(I37="","",IF(J37="Anual",I37+365,I37+30))</f>
        <v/>
      </c>
      <c r="Q37" s="14">
        <f>IF(I37="","",IF(O37&lt;0,"Vencida",IF(O37&lt;=3,"Por vencer","Activa")))</f>
        <v/>
      </c>
      <c r="R37" s="14" t="n"/>
      <c r="S37" s="14">
        <f>IF(OR(E37="",I37=""),"",HYPERLINK(IF(F37&lt;&gt;"","https://wa.me/"&amp;SUBSTITUTE(SUBSTITUTE(SUBSTITUTE(F37,"+",""),"-","")," ","")&amp;"?text="&amp;SUBSTITUTE(SUBSTITUTE("Hola "&amp;E37&amp;", tu cuenta de "&amp;A37&amp;" vence el "&amp;TEXT(I37,"dd/mm/yyyy")&amp;". Deseas renovarla?"," ","%20"),"?","%3F"),"https://api.whatsapp.com/send?text="&amp;SUBSTITUTE(SUBSTITUTE("Hola "&amp;E37&amp;", tu cuenta de "&amp;A37&amp;" vence el "&amp;TEXT(I37,"dd/mm/yyyy")&amp;". Deseas renovarla?"," ","%20"),"?","%3F")),"Enviar recordatorio"))</f>
        <v/>
      </c>
      <c r="T37" s="14" t="n"/>
    </row>
    <row r="38" ht="15" customHeight="1" s="28">
      <c r="A38" s="14" t="n"/>
      <c r="B38" s="14" t="n"/>
      <c r="C38" s="14" t="n"/>
      <c r="D38" s="14" t="n"/>
      <c r="E38" s="14" t="n"/>
      <c r="F38" s="14" t="n"/>
      <c r="G38" s="14" t="n"/>
      <c r="H38" s="15" t="n"/>
      <c r="I38" s="15" t="n"/>
      <c r="J38" s="14" t="n"/>
      <c r="K38" s="16">
        <f>IFERROR(VLOOKUP(A38,Precios!$A$5:$C$14,2,FALSE()),"")</f>
        <v/>
      </c>
      <c r="L38" s="16">
        <f>IFERROR(VLOOKUP(A38,Precios!$A$5:$C$14,3,FALSE()),"")</f>
        <v/>
      </c>
      <c r="M38" s="16">
        <f>IF(AND(K38&lt;&gt;"",L38&lt;&gt;""),L38-K38,"")</f>
        <v/>
      </c>
      <c r="N38" s="14">
        <f>IF(AND(H38&lt;&gt;"",I38&lt;&gt;""),I38-H38,"")</f>
        <v/>
      </c>
      <c r="O38" s="14">
        <f>IF(I38&lt;&gt;"",I38-TODAY(),"")</f>
        <v/>
      </c>
      <c r="P38" s="15">
        <f>IF(I38="","",IF(J38="Anual",I38+365,I38+30))</f>
        <v/>
      </c>
      <c r="Q38" s="14">
        <f>IF(I38="","",IF(O38&lt;0,"Vencida",IF(O38&lt;=3,"Por vencer","Activa")))</f>
        <v/>
      </c>
      <c r="R38" s="14" t="n"/>
      <c r="S38" s="14">
        <f>IF(OR(E38="",I38=""),"",HYPERLINK(IF(F38&lt;&gt;"","https://wa.me/"&amp;SUBSTITUTE(SUBSTITUTE(SUBSTITUTE(F38,"+",""),"-","")," ","")&amp;"?text="&amp;SUBSTITUTE(SUBSTITUTE("Hola "&amp;E38&amp;", tu cuenta de "&amp;A38&amp;" vence el "&amp;TEXT(I38,"dd/mm/yyyy")&amp;". Deseas renovarla?"," ","%20"),"?","%3F"),"https://api.whatsapp.com/send?text="&amp;SUBSTITUTE(SUBSTITUTE("Hola "&amp;E38&amp;", tu cuenta de "&amp;A38&amp;" vence el "&amp;TEXT(I38,"dd/mm/yyyy")&amp;". Deseas renovarla?"," ","%20"),"?","%3F")),"Enviar recordatorio"))</f>
        <v/>
      </c>
      <c r="T38" s="14" t="n"/>
    </row>
    <row r="39" ht="15" customHeight="1" s="28">
      <c r="A39" s="14" t="n"/>
      <c r="B39" s="14" t="n"/>
      <c r="C39" s="14" t="n"/>
      <c r="D39" s="14" t="n"/>
      <c r="E39" s="14" t="n"/>
      <c r="F39" s="14" t="n"/>
      <c r="G39" s="14" t="n"/>
      <c r="H39" s="15" t="n"/>
      <c r="I39" s="15" t="n"/>
      <c r="J39" s="14" t="n"/>
      <c r="K39" s="16">
        <f>IFERROR(VLOOKUP(A39,Precios!$A$5:$C$14,2,FALSE()),"")</f>
        <v/>
      </c>
      <c r="L39" s="16">
        <f>IFERROR(VLOOKUP(A39,Precios!$A$5:$C$14,3,FALSE()),"")</f>
        <v/>
      </c>
      <c r="M39" s="16">
        <f>IF(AND(K39&lt;&gt;"",L39&lt;&gt;""),L39-K39,"")</f>
        <v/>
      </c>
      <c r="N39" s="14">
        <f>IF(AND(H39&lt;&gt;"",I39&lt;&gt;""),I39-H39,"")</f>
        <v/>
      </c>
      <c r="O39" s="14">
        <f>IF(I39&lt;&gt;"",I39-TODAY(),"")</f>
        <v/>
      </c>
      <c r="P39" s="15">
        <f>IF(I39="","",IF(J39="Anual",I39+365,I39+30))</f>
        <v/>
      </c>
      <c r="Q39" s="14">
        <f>IF(I39="","",IF(O39&lt;0,"Vencida",IF(O39&lt;=3,"Por vencer","Activa")))</f>
        <v/>
      </c>
      <c r="R39" s="14" t="n"/>
      <c r="S39" s="14">
        <f>IF(OR(E39="",I39=""),"",HYPERLINK(IF(F39&lt;&gt;"","https://wa.me/"&amp;SUBSTITUTE(SUBSTITUTE(SUBSTITUTE(F39,"+",""),"-","")," ","")&amp;"?text="&amp;SUBSTITUTE(SUBSTITUTE("Hola "&amp;E39&amp;", tu cuenta de "&amp;A39&amp;" vence el "&amp;TEXT(I39,"dd/mm/yyyy")&amp;". Deseas renovarla?"," ","%20"),"?","%3F"),"https://api.whatsapp.com/send?text="&amp;SUBSTITUTE(SUBSTITUTE("Hola "&amp;E39&amp;", tu cuenta de "&amp;A39&amp;" vence el "&amp;TEXT(I39,"dd/mm/yyyy")&amp;". Deseas renovarla?"," ","%20"),"?","%3F")),"Enviar recordatorio"))</f>
        <v/>
      </c>
      <c r="T39" s="14" t="n"/>
    </row>
    <row r="40" ht="15" customHeight="1" s="28">
      <c r="A40" s="14" t="n"/>
      <c r="B40" s="14" t="n"/>
      <c r="C40" s="14" t="n"/>
      <c r="D40" s="14" t="n"/>
      <c r="E40" s="14" t="n"/>
      <c r="F40" s="14" t="n"/>
      <c r="G40" s="14" t="n"/>
      <c r="H40" s="15" t="n"/>
      <c r="I40" s="15" t="n"/>
      <c r="J40" s="14" t="n"/>
      <c r="K40" s="16">
        <f>IFERROR(VLOOKUP(A40,Precios!$A$5:$C$14,2,FALSE()),"")</f>
        <v/>
      </c>
      <c r="L40" s="16">
        <f>IFERROR(VLOOKUP(A40,Precios!$A$5:$C$14,3,FALSE()),"")</f>
        <v/>
      </c>
      <c r="M40" s="16">
        <f>IF(AND(K40&lt;&gt;"",L40&lt;&gt;""),L40-K40,"")</f>
        <v/>
      </c>
      <c r="N40" s="14">
        <f>IF(AND(H40&lt;&gt;"",I40&lt;&gt;""),I40-H40,"")</f>
        <v/>
      </c>
      <c r="O40" s="14">
        <f>IF(I40&lt;&gt;"",I40-TODAY(),"")</f>
        <v/>
      </c>
      <c r="P40" s="15">
        <f>IF(I40="","",IF(J40="Anual",I40+365,I40+30))</f>
        <v/>
      </c>
      <c r="Q40" s="14">
        <f>IF(I40="","",IF(O40&lt;0,"Vencida",IF(O40&lt;=3,"Por vencer","Activa")))</f>
        <v/>
      </c>
      <c r="R40" s="14" t="n"/>
      <c r="S40" s="14">
        <f>IF(OR(E40="",I40=""),"",HYPERLINK(IF(F40&lt;&gt;"","https://wa.me/"&amp;SUBSTITUTE(SUBSTITUTE(SUBSTITUTE(F40,"+",""),"-","")," ","")&amp;"?text="&amp;SUBSTITUTE(SUBSTITUTE("Hola "&amp;E40&amp;", tu cuenta de "&amp;A40&amp;" vence el "&amp;TEXT(I40,"dd/mm/yyyy")&amp;". Deseas renovarla?"," ","%20"),"?","%3F"),"https://api.whatsapp.com/send?text="&amp;SUBSTITUTE(SUBSTITUTE("Hola "&amp;E40&amp;", tu cuenta de "&amp;A40&amp;" vence el "&amp;TEXT(I40,"dd/mm/yyyy")&amp;". Deseas renovarla?"," ","%20"),"?","%3F")),"Enviar recordatorio"))</f>
        <v/>
      </c>
      <c r="T40" s="14" t="n"/>
    </row>
    <row r="41" ht="15" customHeight="1" s="28">
      <c r="A41" s="14" t="n"/>
      <c r="B41" s="14" t="n"/>
      <c r="C41" s="14" t="n"/>
      <c r="D41" s="14" t="n"/>
      <c r="E41" s="14" t="n"/>
      <c r="F41" s="14" t="n"/>
      <c r="G41" s="14" t="n"/>
      <c r="H41" s="15" t="n"/>
      <c r="I41" s="15" t="n"/>
      <c r="J41" s="14" t="n"/>
      <c r="K41" s="16">
        <f>IFERROR(VLOOKUP(A41,Precios!$A$5:$C$14,2,FALSE()),"")</f>
        <v/>
      </c>
      <c r="L41" s="16">
        <f>IFERROR(VLOOKUP(A41,Precios!$A$5:$C$14,3,FALSE()),"")</f>
        <v/>
      </c>
      <c r="M41" s="16">
        <f>IF(AND(K41&lt;&gt;"",L41&lt;&gt;""),L41-K41,"")</f>
        <v/>
      </c>
      <c r="N41" s="14">
        <f>IF(AND(H41&lt;&gt;"",I41&lt;&gt;""),I41-H41,"")</f>
        <v/>
      </c>
      <c r="O41" s="14">
        <f>IF(I41&lt;&gt;"",I41-TODAY(),"")</f>
        <v/>
      </c>
      <c r="P41" s="15">
        <f>IF(I41="","",IF(J41="Anual",I41+365,I41+30))</f>
        <v/>
      </c>
      <c r="Q41" s="14">
        <f>IF(I41="","",IF(O41&lt;0,"Vencida",IF(O41&lt;=3,"Por vencer","Activa")))</f>
        <v/>
      </c>
      <c r="R41" s="14" t="n"/>
      <c r="S41" s="14">
        <f>IF(OR(E41="",I41=""),"",HYPERLINK(IF(F41&lt;&gt;"","https://wa.me/"&amp;SUBSTITUTE(SUBSTITUTE(SUBSTITUTE(F41,"+",""),"-","")," ","")&amp;"?text="&amp;SUBSTITUTE(SUBSTITUTE("Hola "&amp;E41&amp;", tu cuenta de "&amp;A41&amp;" vence el "&amp;TEXT(I41,"dd/mm/yyyy")&amp;". Deseas renovarla?"," ","%20"),"?","%3F"),"https://api.whatsapp.com/send?text="&amp;SUBSTITUTE(SUBSTITUTE("Hola "&amp;E41&amp;", tu cuenta de "&amp;A41&amp;" vence el "&amp;TEXT(I41,"dd/mm/yyyy")&amp;". Deseas renovarla?"," ","%20"),"?","%3F")),"Enviar recordatorio"))</f>
        <v/>
      </c>
      <c r="T41" s="14" t="n"/>
    </row>
    <row r="42" ht="15" customHeight="1" s="28">
      <c r="A42" s="14" t="n"/>
      <c r="B42" s="14" t="n"/>
      <c r="C42" s="14" t="n"/>
      <c r="D42" s="14" t="n"/>
      <c r="E42" s="14" t="n"/>
      <c r="F42" s="14" t="n"/>
      <c r="G42" s="14" t="n"/>
      <c r="H42" s="15" t="n"/>
      <c r="I42" s="15" t="n"/>
      <c r="J42" s="14" t="n"/>
      <c r="K42" s="16">
        <f>IFERROR(VLOOKUP(A42,Precios!$A$5:$C$14,2,FALSE()),"")</f>
        <v/>
      </c>
      <c r="L42" s="16">
        <f>IFERROR(VLOOKUP(A42,Precios!$A$5:$C$14,3,FALSE()),"")</f>
        <v/>
      </c>
      <c r="M42" s="16">
        <f>IF(AND(K42&lt;&gt;"",L42&lt;&gt;""),L42-K42,"")</f>
        <v/>
      </c>
      <c r="N42" s="14">
        <f>IF(AND(H42&lt;&gt;"",I42&lt;&gt;""),I42-H42,"")</f>
        <v/>
      </c>
      <c r="O42" s="14">
        <f>IF(I42&lt;&gt;"",I42-TODAY(),"")</f>
        <v/>
      </c>
      <c r="P42" s="15">
        <f>IF(I42="","",IF(J42="Anual",I42+365,I42+30))</f>
        <v/>
      </c>
      <c r="Q42" s="14">
        <f>IF(I42="","",IF(O42&lt;0,"Vencida",IF(O42&lt;=3,"Por vencer","Activa")))</f>
        <v/>
      </c>
      <c r="R42" s="14" t="n"/>
      <c r="S42" s="14">
        <f>IF(OR(E42="",I42=""),"",HYPERLINK(IF(F42&lt;&gt;"","https://wa.me/"&amp;SUBSTITUTE(SUBSTITUTE(SUBSTITUTE(F42,"+",""),"-","")," ","")&amp;"?text="&amp;SUBSTITUTE(SUBSTITUTE("Hola "&amp;E42&amp;", tu cuenta de "&amp;A42&amp;" vence el "&amp;TEXT(I42,"dd/mm/yyyy")&amp;". Deseas renovarla?"," ","%20"),"?","%3F"),"https://api.whatsapp.com/send?text="&amp;SUBSTITUTE(SUBSTITUTE("Hola "&amp;E42&amp;", tu cuenta de "&amp;A42&amp;" vence el "&amp;TEXT(I42,"dd/mm/yyyy")&amp;". Deseas renovarla?"," ","%20"),"?","%3F")),"Enviar recordatorio"))</f>
        <v/>
      </c>
      <c r="T42" s="14" t="n"/>
    </row>
    <row r="43" ht="15" customHeight="1" s="28">
      <c r="A43" s="14" t="n"/>
      <c r="B43" s="14" t="n"/>
      <c r="C43" s="14" t="n"/>
      <c r="D43" s="14" t="n"/>
      <c r="E43" s="14" t="n"/>
      <c r="F43" s="14" t="n"/>
      <c r="G43" s="14" t="n"/>
      <c r="H43" s="15" t="n"/>
      <c r="I43" s="15" t="n"/>
      <c r="J43" s="14" t="n"/>
      <c r="K43" s="16">
        <f>IFERROR(VLOOKUP(A43,Precios!$A$5:$C$14,2,FALSE()),"")</f>
        <v/>
      </c>
      <c r="L43" s="16">
        <f>IFERROR(VLOOKUP(A43,Precios!$A$5:$C$14,3,FALSE()),"")</f>
        <v/>
      </c>
      <c r="M43" s="16">
        <f>IF(AND(K43&lt;&gt;"",L43&lt;&gt;""),L43-K43,"")</f>
        <v/>
      </c>
      <c r="N43" s="14">
        <f>IF(AND(H43&lt;&gt;"",I43&lt;&gt;""),I43-H43,"")</f>
        <v/>
      </c>
      <c r="O43" s="14">
        <f>IF(I43&lt;&gt;"",I43-TODAY(),"")</f>
        <v/>
      </c>
      <c r="P43" s="15">
        <f>IF(I43="","",IF(J43="Anual",I43+365,I43+30))</f>
        <v/>
      </c>
      <c r="Q43" s="14">
        <f>IF(I43="","",IF(O43&lt;0,"Vencida",IF(O43&lt;=3,"Por vencer","Activa")))</f>
        <v/>
      </c>
      <c r="R43" s="14" t="n"/>
      <c r="S43" s="14">
        <f>IF(OR(E43="",I43=""),"",HYPERLINK(IF(F43&lt;&gt;"","https://wa.me/"&amp;SUBSTITUTE(SUBSTITUTE(SUBSTITUTE(F43,"+",""),"-","")," ","")&amp;"?text="&amp;SUBSTITUTE(SUBSTITUTE("Hola "&amp;E43&amp;", tu cuenta de "&amp;A43&amp;" vence el "&amp;TEXT(I43,"dd/mm/yyyy")&amp;". Deseas renovarla?"," ","%20"),"?","%3F"),"https://api.whatsapp.com/send?text="&amp;SUBSTITUTE(SUBSTITUTE("Hola "&amp;E43&amp;", tu cuenta de "&amp;A43&amp;" vence el "&amp;TEXT(I43,"dd/mm/yyyy")&amp;". Deseas renovarla?"," ","%20"),"?","%3F")),"Enviar recordatorio"))</f>
        <v/>
      </c>
      <c r="T43" s="14" t="n"/>
    </row>
    <row r="44" ht="15" customHeight="1" s="28">
      <c r="A44" s="14" t="n"/>
      <c r="B44" s="14" t="n"/>
      <c r="C44" s="14" t="n"/>
      <c r="D44" s="14" t="n"/>
      <c r="E44" s="14" t="n"/>
      <c r="F44" s="14" t="n"/>
      <c r="G44" s="14" t="n"/>
      <c r="H44" s="15" t="n"/>
      <c r="I44" s="15" t="n"/>
      <c r="J44" s="14" t="n"/>
      <c r="K44" s="16">
        <f>IFERROR(VLOOKUP(A44,Precios!$A$5:$C$14,2,FALSE()),"")</f>
        <v/>
      </c>
      <c r="L44" s="16">
        <f>IFERROR(VLOOKUP(A44,Precios!$A$5:$C$14,3,FALSE()),"")</f>
        <v/>
      </c>
      <c r="M44" s="16">
        <f>IF(AND(K44&lt;&gt;"",L44&lt;&gt;""),L44-K44,"")</f>
        <v/>
      </c>
      <c r="N44" s="14">
        <f>IF(AND(H44&lt;&gt;"",I44&lt;&gt;""),I44-H44,"")</f>
        <v/>
      </c>
      <c r="O44" s="14">
        <f>IF(I44&lt;&gt;"",I44-TODAY(),"")</f>
        <v/>
      </c>
      <c r="P44" s="15">
        <f>IF(I44="","",IF(J44="Anual",I44+365,I44+30))</f>
        <v/>
      </c>
      <c r="Q44" s="14">
        <f>IF(I44="","",IF(O44&lt;0,"Vencida",IF(O44&lt;=3,"Por vencer","Activa")))</f>
        <v/>
      </c>
      <c r="R44" s="14" t="n"/>
      <c r="S44" s="14">
        <f>IF(OR(E44="",I44=""),"",HYPERLINK(IF(F44&lt;&gt;"","https://wa.me/"&amp;SUBSTITUTE(SUBSTITUTE(SUBSTITUTE(F44,"+",""),"-","")," ","")&amp;"?text="&amp;SUBSTITUTE(SUBSTITUTE("Hola "&amp;E44&amp;", tu cuenta de "&amp;A44&amp;" vence el "&amp;TEXT(I44,"dd/mm/yyyy")&amp;". Deseas renovarla?"," ","%20"),"?","%3F"),"https://api.whatsapp.com/send?text="&amp;SUBSTITUTE(SUBSTITUTE("Hola "&amp;E44&amp;", tu cuenta de "&amp;A44&amp;" vence el "&amp;TEXT(I44,"dd/mm/yyyy")&amp;". Deseas renovarla?"," ","%20"),"?","%3F")),"Enviar recordatorio"))</f>
        <v/>
      </c>
      <c r="T44" s="14" t="n"/>
    </row>
    <row r="45" ht="15" customHeight="1" s="28">
      <c r="A45" s="14" t="n"/>
      <c r="B45" s="14" t="n"/>
      <c r="C45" s="14" t="n"/>
      <c r="D45" s="14" t="n"/>
      <c r="E45" s="14" t="n"/>
      <c r="F45" s="14" t="n"/>
      <c r="G45" s="14" t="n"/>
      <c r="H45" s="15" t="n"/>
      <c r="I45" s="15" t="n"/>
      <c r="J45" s="14" t="n"/>
      <c r="K45" s="16">
        <f>IFERROR(VLOOKUP(A45,Precios!$A$5:$C$14,2,FALSE()),"")</f>
        <v/>
      </c>
      <c r="L45" s="16">
        <f>IFERROR(VLOOKUP(A45,Precios!$A$5:$C$14,3,FALSE()),"")</f>
        <v/>
      </c>
      <c r="M45" s="16">
        <f>IF(AND(K45&lt;&gt;"",L45&lt;&gt;""),L45-K45,"")</f>
        <v/>
      </c>
      <c r="N45" s="14">
        <f>IF(AND(H45&lt;&gt;"",I45&lt;&gt;""),I45-H45,"")</f>
        <v/>
      </c>
      <c r="O45" s="14">
        <f>IF(I45&lt;&gt;"",I45-TODAY(),"")</f>
        <v/>
      </c>
      <c r="P45" s="15">
        <f>IF(I45="","",IF(J45="Anual",I45+365,I45+30))</f>
        <v/>
      </c>
      <c r="Q45" s="14">
        <f>IF(I45="","",IF(O45&lt;0,"Vencida",IF(O45&lt;=3,"Por vencer","Activa")))</f>
        <v/>
      </c>
      <c r="R45" s="14" t="n"/>
      <c r="S45" s="14">
        <f>IF(OR(E45="",I45=""),"",HYPERLINK(IF(F45&lt;&gt;"","https://wa.me/"&amp;SUBSTITUTE(SUBSTITUTE(SUBSTITUTE(F45,"+",""),"-","")," ","")&amp;"?text="&amp;SUBSTITUTE(SUBSTITUTE("Hola "&amp;E45&amp;", tu cuenta de "&amp;A45&amp;" vence el "&amp;TEXT(I45,"dd/mm/yyyy")&amp;". Deseas renovarla?"," ","%20"),"?","%3F"),"https://api.whatsapp.com/send?text="&amp;SUBSTITUTE(SUBSTITUTE("Hola "&amp;E45&amp;", tu cuenta de "&amp;A45&amp;" vence el "&amp;TEXT(I45,"dd/mm/yyyy")&amp;". Deseas renovarla?"," ","%20"),"?","%3F")),"Enviar recordatorio"))</f>
        <v/>
      </c>
      <c r="T45" s="14" t="n"/>
    </row>
    <row r="46" ht="15" customHeight="1" s="28">
      <c r="A46" s="14" t="n"/>
      <c r="B46" s="14" t="n"/>
      <c r="C46" s="14" t="n"/>
      <c r="D46" s="14" t="n"/>
      <c r="E46" s="14" t="n"/>
      <c r="F46" s="14" t="n"/>
      <c r="G46" s="14" t="n"/>
      <c r="H46" s="15" t="n"/>
      <c r="I46" s="15" t="n"/>
      <c r="J46" s="14" t="n"/>
      <c r="K46" s="16">
        <f>IFERROR(VLOOKUP(A46,Precios!$A$5:$C$14,2,FALSE()),"")</f>
        <v/>
      </c>
      <c r="L46" s="16">
        <f>IFERROR(VLOOKUP(A46,Precios!$A$5:$C$14,3,FALSE()),"")</f>
        <v/>
      </c>
      <c r="M46" s="16">
        <f>IF(AND(K46&lt;&gt;"",L46&lt;&gt;""),L46-K46,"")</f>
        <v/>
      </c>
      <c r="N46" s="14">
        <f>IF(AND(H46&lt;&gt;"",I46&lt;&gt;""),I46-H46,"")</f>
        <v/>
      </c>
      <c r="O46" s="14">
        <f>IF(I46&lt;&gt;"",I46-TODAY(),"")</f>
        <v/>
      </c>
      <c r="P46" s="15">
        <f>IF(I46="","",IF(J46="Anual",I46+365,I46+30))</f>
        <v/>
      </c>
      <c r="Q46" s="14">
        <f>IF(I46="","",IF(O46&lt;0,"Vencida",IF(O46&lt;=3,"Por vencer","Activa")))</f>
        <v/>
      </c>
      <c r="R46" s="14" t="n"/>
      <c r="S46" s="14">
        <f>IF(OR(E46="",I46=""),"",HYPERLINK(IF(F46&lt;&gt;"","https://wa.me/"&amp;SUBSTITUTE(SUBSTITUTE(SUBSTITUTE(F46,"+",""),"-","")," ","")&amp;"?text="&amp;SUBSTITUTE(SUBSTITUTE("Hola "&amp;E46&amp;", tu cuenta de "&amp;A46&amp;" vence el "&amp;TEXT(I46,"dd/mm/yyyy")&amp;". Deseas renovarla?"," ","%20"),"?","%3F"),"https://api.whatsapp.com/send?text="&amp;SUBSTITUTE(SUBSTITUTE("Hola "&amp;E46&amp;", tu cuenta de "&amp;A46&amp;" vence el "&amp;TEXT(I46,"dd/mm/yyyy")&amp;". Deseas renovarla?"," ","%20"),"?","%3F")),"Enviar recordatorio"))</f>
        <v/>
      </c>
      <c r="T46" s="14" t="n"/>
    </row>
    <row r="47" ht="15" customHeight="1" s="28">
      <c r="A47" s="14" t="n"/>
      <c r="B47" s="14" t="n"/>
      <c r="C47" s="14" t="n"/>
      <c r="D47" s="14" t="n"/>
      <c r="E47" s="14" t="n"/>
      <c r="F47" s="14" t="n"/>
      <c r="G47" s="14" t="n"/>
      <c r="H47" s="15" t="n"/>
      <c r="I47" s="15" t="n"/>
      <c r="J47" s="14" t="n"/>
      <c r="K47" s="16">
        <f>IFERROR(VLOOKUP(A47,Precios!$A$5:$C$14,2,FALSE()),"")</f>
        <v/>
      </c>
      <c r="L47" s="16">
        <f>IFERROR(VLOOKUP(A47,Precios!$A$5:$C$14,3,FALSE()),"")</f>
        <v/>
      </c>
      <c r="M47" s="16">
        <f>IF(AND(K47&lt;&gt;"",L47&lt;&gt;""),L47-K47,"")</f>
        <v/>
      </c>
      <c r="N47" s="14">
        <f>IF(AND(H47&lt;&gt;"",I47&lt;&gt;""),I47-H47,"")</f>
        <v/>
      </c>
      <c r="O47" s="14">
        <f>IF(I47&lt;&gt;"",I47-TODAY(),"")</f>
        <v/>
      </c>
      <c r="P47" s="15">
        <f>IF(I47="","",IF(J47="Anual",I47+365,I47+30))</f>
        <v/>
      </c>
      <c r="Q47" s="14">
        <f>IF(I47="","",IF(O47&lt;0,"Vencida",IF(O47&lt;=3,"Por vencer","Activa")))</f>
        <v/>
      </c>
      <c r="R47" s="14" t="n"/>
      <c r="S47" s="14">
        <f>IF(OR(E47="",I47=""),"",HYPERLINK(IF(F47&lt;&gt;"","https://wa.me/"&amp;SUBSTITUTE(SUBSTITUTE(SUBSTITUTE(F47,"+",""),"-","")," ","")&amp;"?text="&amp;SUBSTITUTE(SUBSTITUTE("Hola "&amp;E47&amp;", tu cuenta de "&amp;A47&amp;" vence el "&amp;TEXT(I47,"dd/mm/yyyy")&amp;". Deseas renovarla?"," ","%20"),"?","%3F"),"https://api.whatsapp.com/send?text="&amp;SUBSTITUTE(SUBSTITUTE("Hola "&amp;E47&amp;", tu cuenta de "&amp;A47&amp;" vence el "&amp;TEXT(I47,"dd/mm/yyyy")&amp;". Deseas renovarla?"," ","%20"),"?","%3F")),"Enviar recordatorio"))</f>
        <v/>
      </c>
      <c r="T47" s="14" t="n"/>
    </row>
    <row r="48" ht="15" customHeight="1" s="28">
      <c r="A48" s="14" t="n"/>
      <c r="B48" s="14" t="n"/>
      <c r="C48" s="14" t="n"/>
      <c r="D48" s="14" t="n"/>
      <c r="E48" s="14" t="n"/>
      <c r="F48" s="14" t="n"/>
      <c r="G48" s="14" t="n"/>
      <c r="H48" s="15" t="n"/>
      <c r="I48" s="15" t="n"/>
      <c r="J48" s="14" t="n"/>
      <c r="K48" s="16">
        <f>IFERROR(VLOOKUP(A48,Precios!$A$5:$C$14,2,FALSE()),"")</f>
        <v/>
      </c>
      <c r="L48" s="16">
        <f>IFERROR(VLOOKUP(A48,Precios!$A$5:$C$14,3,FALSE()),"")</f>
        <v/>
      </c>
      <c r="M48" s="16">
        <f>IF(AND(K48&lt;&gt;"",L48&lt;&gt;""),L48-K48,"")</f>
        <v/>
      </c>
      <c r="N48" s="14">
        <f>IF(AND(H48&lt;&gt;"",I48&lt;&gt;""),I48-H48,"")</f>
        <v/>
      </c>
      <c r="O48" s="14">
        <f>IF(I48&lt;&gt;"",I48-TODAY(),"")</f>
        <v/>
      </c>
      <c r="P48" s="15">
        <f>IF(I48="","",IF(J48="Anual",I48+365,I48+30))</f>
        <v/>
      </c>
      <c r="Q48" s="14">
        <f>IF(I48="","",IF(O48&lt;0,"Vencida",IF(O48&lt;=3,"Por vencer","Activa")))</f>
        <v/>
      </c>
      <c r="R48" s="14" t="n"/>
      <c r="S48" s="14">
        <f>IF(OR(E48="",I48=""),"",HYPERLINK(IF(F48&lt;&gt;"","https://wa.me/"&amp;SUBSTITUTE(SUBSTITUTE(SUBSTITUTE(F48,"+",""),"-","")," ","")&amp;"?text="&amp;SUBSTITUTE(SUBSTITUTE("Hola "&amp;E48&amp;", tu cuenta de "&amp;A48&amp;" vence el "&amp;TEXT(I48,"dd/mm/yyyy")&amp;". Deseas renovarla?"," ","%20"),"?","%3F"),"https://api.whatsapp.com/send?text="&amp;SUBSTITUTE(SUBSTITUTE("Hola "&amp;E48&amp;", tu cuenta de "&amp;A48&amp;" vence el "&amp;TEXT(I48,"dd/mm/yyyy")&amp;". Deseas renovarla?"," ","%20"),"?","%3F")),"Enviar recordatorio"))</f>
        <v/>
      </c>
      <c r="T48" s="14" t="n"/>
    </row>
    <row r="49" ht="15" customHeight="1" s="28">
      <c r="A49" s="14" t="n"/>
      <c r="B49" s="14" t="n"/>
      <c r="C49" s="14" t="n"/>
      <c r="D49" s="14" t="n"/>
      <c r="E49" s="14" t="n"/>
      <c r="F49" s="14" t="n"/>
      <c r="G49" s="14" t="n"/>
      <c r="H49" s="15" t="n"/>
      <c r="I49" s="15" t="n"/>
      <c r="J49" s="14" t="n"/>
      <c r="K49" s="16">
        <f>IFERROR(VLOOKUP(A49,Precios!$A$5:$C$14,2,FALSE()),"")</f>
        <v/>
      </c>
      <c r="L49" s="16">
        <f>IFERROR(VLOOKUP(A49,Precios!$A$5:$C$14,3,FALSE()),"")</f>
        <v/>
      </c>
      <c r="M49" s="16">
        <f>IF(AND(K49&lt;&gt;"",L49&lt;&gt;""),L49-K49,"")</f>
        <v/>
      </c>
      <c r="N49" s="14">
        <f>IF(AND(H49&lt;&gt;"",I49&lt;&gt;""),I49-H49,"")</f>
        <v/>
      </c>
      <c r="O49" s="14">
        <f>IF(I49&lt;&gt;"",I49-TODAY(),"")</f>
        <v/>
      </c>
      <c r="P49" s="15">
        <f>IF(I49="","",IF(J49="Anual",I49+365,I49+30))</f>
        <v/>
      </c>
      <c r="Q49" s="14">
        <f>IF(I49="","",IF(O49&lt;0,"Vencida",IF(O49&lt;=3,"Por vencer","Activa")))</f>
        <v/>
      </c>
      <c r="R49" s="14" t="n"/>
      <c r="S49" s="14">
        <f>IF(OR(E49="",I49=""),"",HYPERLINK(IF(F49&lt;&gt;"","https://wa.me/"&amp;SUBSTITUTE(SUBSTITUTE(SUBSTITUTE(F49,"+",""),"-","")," ","")&amp;"?text="&amp;SUBSTITUTE(SUBSTITUTE("Hola "&amp;E49&amp;", tu cuenta de "&amp;A49&amp;" vence el "&amp;TEXT(I49,"dd/mm/yyyy")&amp;". Deseas renovarla?"," ","%20"),"?","%3F"),"https://api.whatsapp.com/send?text="&amp;SUBSTITUTE(SUBSTITUTE("Hola "&amp;E49&amp;", tu cuenta de "&amp;A49&amp;" vence el "&amp;TEXT(I49,"dd/mm/yyyy")&amp;". Deseas renovarla?"," ","%20"),"?","%3F")),"Enviar recordatorio"))</f>
        <v/>
      </c>
      <c r="T49" s="14" t="n"/>
    </row>
    <row r="50" ht="15" customHeight="1" s="28">
      <c r="A50" s="14" t="n"/>
      <c r="B50" s="14" t="n"/>
      <c r="C50" s="14" t="n"/>
      <c r="D50" s="14" t="n"/>
      <c r="E50" s="14" t="n"/>
      <c r="F50" s="14" t="n"/>
      <c r="G50" s="14" t="n"/>
      <c r="H50" s="15" t="n"/>
      <c r="I50" s="15" t="n"/>
      <c r="J50" s="14" t="n"/>
      <c r="K50" s="16">
        <f>IFERROR(VLOOKUP(A50,Precios!$A$5:$C$14,2,FALSE()),"")</f>
        <v/>
      </c>
      <c r="L50" s="16">
        <f>IFERROR(VLOOKUP(A50,Precios!$A$5:$C$14,3,FALSE()),"")</f>
        <v/>
      </c>
      <c r="M50" s="16">
        <f>IF(AND(K50&lt;&gt;"",L50&lt;&gt;""),L50-K50,"")</f>
        <v/>
      </c>
      <c r="N50" s="14">
        <f>IF(AND(H50&lt;&gt;"",I50&lt;&gt;""),I50-H50,"")</f>
        <v/>
      </c>
      <c r="O50" s="14">
        <f>IF(I50&lt;&gt;"",I50-TODAY(),"")</f>
        <v/>
      </c>
      <c r="P50" s="15">
        <f>IF(I50="","",IF(J50="Anual",I50+365,I50+30))</f>
        <v/>
      </c>
      <c r="Q50" s="14">
        <f>IF(I50="","",IF(O50&lt;0,"Vencida",IF(O50&lt;=3,"Por vencer","Activa")))</f>
        <v/>
      </c>
      <c r="R50" s="14" t="n"/>
      <c r="S50" s="14">
        <f>IF(OR(E50="",I50=""),"",HYPERLINK(IF(F50&lt;&gt;"","https://wa.me/"&amp;SUBSTITUTE(SUBSTITUTE(SUBSTITUTE(F50,"+",""),"-","")," ","")&amp;"?text="&amp;SUBSTITUTE(SUBSTITUTE("Hola "&amp;E50&amp;", tu cuenta de "&amp;A50&amp;" vence el "&amp;TEXT(I50,"dd/mm/yyyy")&amp;". Deseas renovarla?"," ","%20"),"?","%3F"),"https://api.whatsapp.com/send?text="&amp;SUBSTITUTE(SUBSTITUTE("Hola "&amp;E50&amp;", tu cuenta de "&amp;A50&amp;" vence el "&amp;TEXT(I50,"dd/mm/yyyy")&amp;". Deseas renovarla?"," ","%20"),"?","%3F")),"Enviar recordatorio"))</f>
        <v/>
      </c>
      <c r="T50" s="14" t="n"/>
    </row>
    <row r="51" ht="15" customHeight="1" s="28">
      <c r="A51" s="14" t="n"/>
      <c r="B51" s="14" t="n"/>
      <c r="C51" s="14" t="n"/>
      <c r="D51" s="14" t="n"/>
      <c r="E51" s="14" t="n"/>
      <c r="F51" s="14" t="n"/>
      <c r="G51" s="14" t="n"/>
      <c r="H51" s="15" t="n"/>
      <c r="I51" s="15" t="n"/>
      <c r="J51" s="14" t="n"/>
      <c r="K51" s="16">
        <f>IFERROR(VLOOKUP(A51,Precios!$A$5:$C$14,2,FALSE()),"")</f>
        <v/>
      </c>
      <c r="L51" s="16">
        <f>IFERROR(VLOOKUP(A51,Precios!$A$5:$C$14,3,FALSE()),"")</f>
        <v/>
      </c>
      <c r="M51" s="16">
        <f>IF(AND(K51&lt;&gt;"",L51&lt;&gt;""),L51-K51,"")</f>
        <v/>
      </c>
      <c r="N51" s="14">
        <f>IF(AND(H51&lt;&gt;"",I51&lt;&gt;""),I51-H51,"")</f>
        <v/>
      </c>
      <c r="O51" s="14">
        <f>IF(I51&lt;&gt;"",I51-TODAY(),"")</f>
        <v/>
      </c>
      <c r="P51" s="15">
        <f>IF(I51="","",IF(J51="Anual",I51+365,I51+30))</f>
        <v/>
      </c>
      <c r="Q51" s="14">
        <f>IF(I51="","",IF(O51&lt;0,"Vencida",IF(O51&lt;=3,"Por vencer","Activa")))</f>
        <v/>
      </c>
      <c r="R51" s="14" t="n"/>
      <c r="S51" s="14">
        <f>IF(OR(E51="",I51=""),"",HYPERLINK(IF(F51&lt;&gt;"","https://wa.me/"&amp;SUBSTITUTE(SUBSTITUTE(SUBSTITUTE(F51,"+",""),"-","")," ","")&amp;"?text="&amp;SUBSTITUTE(SUBSTITUTE("Hola "&amp;E51&amp;", tu cuenta de "&amp;A51&amp;" vence el "&amp;TEXT(I51,"dd/mm/yyyy")&amp;". Deseas renovarla?"," ","%20"),"?","%3F"),"https://api.whatsapp.com/send?text="&amp;SUBSTITUTE(SUBSTITUTE("Hola "&amp;E51&amp;", tu cuenta de "&amp;A51&amp;" vence el "&amp;TEXT(I51,"dd/mm/yyyy")&amp;". Deseas renovarla?"," ","%20"),"?","%3F")),"Enviar recordatorio"))</f>
        <v/>
      </c>
      <c r="T51" s="14" t="n"/>
    </row>
    <row r="52" ht="15" customHeight="1" s="28">
      <c r="A52" s="14" t="n"/>
      <c r="B52" s="14" t="n"/>
      <c r="C52" s="14" t="n"/>
      <c r="D52" s="14" t="n"/>
      <c r="E52" s="14" t="n"/>
      <c r="F52" s="14" t="n"/>
      <c r="G52" s="14" t="n"/>
      <c r="H52" s="15" t="n"/>
      <c r="I52" s="15" t="n"/>
      <c r="J52" s="14" t="n"/>
      <c r="K52" s="16">
        <f>IFERROR(VLOOKUP(A52,Precios!$A$5:$C$14,2,FALSE()),"")</f>
        <v/>
      </c>
      <c r="L52" s="16">
        <f>IFERROR(VLOOKUP(A52,Precios!$A$5:$C$14,3,FALSE()),"")</f>
        <v/>
      </c>
      <c r="M52" s="16">
        <f>IF(AND(K52&lt;&gt;"",L52&lt;&gt;""),L52-K52,"")</f>
        <v/>
      </c>
      <c r="N52" s="14">
        <f>IF(AND(H52&lt;&gt;"",I52&lt;&gt;""),I52-H52,"")</f>
        <v/>
      </c>
      <c r="O52" s="14">
        <f>IF(I52&lt;&gt;"",I52-TODAY(),"")</f>
        <v/>
      </c>
      <c r="P52" s="15">
        <f>IF(I52="","",IF(J52="Anual",I52+365,I52+30))</f>
        <v/>
      </c>
      <c r="Q52" s="14">
        <f>IF(I52="","",IF(O52&lt;0,"Vencida",IF(O52&lt;=3,"Por vencer","Activa")))</f>
        <v/>
      </c>
      <c r="R52" s="14" t="n"/>
      <c r="S52" s="14">
        <f>IF(OR(E52="",I52=""),"",HYPERLINK(IF(F52&lt;&gt;"","https://wa.me/"&amp;SUBSTITUTE(SUBSTITUTE(SUBSTITUTE(F52,"+",""),"-","")," ","")&amp;"?text="&amp;SUBSTITUTE(SUBSTITUTE("Hola "&amp;E52&amp;", tu cuenta de "&amp;A52&amp;" vence el "&amp;TEXT(I52,"dd/mm/yyyy")&amp;". Deseas renovarla?"," ","%20"),"?","%3F"),"https://api.whatsapp.com/send?text="&amp;SUBSTITUTE(SUBSTITUTE("Hola "&amp;E52&amp;", tu cuenta de "&amp;A52&amp;" vence el "&amp;TEXT(I52,"dd/mm/yyyy")&amp;". Deseas renovarla?"," ","%20"),"?","%3F")),"Enviar recordatorio"))</f>
        <v/>
      </c>
      <c r="T52" s="14" t="n"/>
    </row>
    <row r="53" ht="15" customHeight="1" s="28">
      <c r="A53" s="14" t="n"/>
      <c r="B53" s="14" t="n"/>
      <c r="C53" s="14" t="n"/>
      <c r="D53" s="14" t="n"/>
      <c r="E53" s="14" t="n"/>
      <c r="F53" s="14" t="n"/>
      <c r="G53" s="14" t="n"/>
      <c r="H53" s="15" t="n"/>
      <c r="I53" s="15" t="n"/>
      <c r="J53" s="14" t="n"/>
      <c r="K53" s="16">
        <f>IFERROR(VLOOKUP(A53,Precios!$A$5:$C$14,2,FALSE()),"")</f>
        <v/>
      </c>
      <c r="L53" s="16">
        <f>IFERROR(VLOOKUP(A53,Precios!$A$5:$C$14,3,FALSE()),"")</f>
        <v/>
      </c>
      <c r="M53" s="16">
        <f>IF(AND(K53&lt;&gt;"",L53&lt;&gt;""),L53-K53,"")</f>
        <v/>
      </c>
      <c r="N53" s="14">
        <f>IF(AND(H53&lt;&gt;"",I53&lt;&gt;""),I53-H53,"")</f>
        <v/>
      </c>
      <c r="O53" s="14">
        <f>IF(I53&lt;&gt;"",I53-TODAY(),"")</f>
        <v/>
      </c>
      <c r="P53" s="15">
        <f>IF(I53="","",IF(J53="Anual",I53+365,I53+30))</f>
        <v/>
      </c>
      <c r="Q53" s="14">
        <f>IF(I53="","",IF(O53&lt;0,"Vencida",IF(O53&lt;=3,"Por vencer","Activa")))</f>
        <v/>
      </c>
      <c r="R53" s="14" t="n"/>
      <c r="S53" s="14">
        <f>IF(OR(E53="",I53=""),"",HYPERLINK(IF(F53&lt;&gt;"","https://wa.me/"&amp;SUBSTITUTE(SUBSTITUTE(SUBSTITUTE(F53,"+",""),"-","")," ","")&amp;"?text="&amp;SUBSTITUTE(SUBSTITUTE("Hola "&amp;E53&amp;", tu cuenta de "&amp;A53&amp;" vence el "&amp;TEXT(I53,"dd/mm/yyyy")&amp;". Deseas renovarla?"," ","%20"),"?","%3F"),"https://api.whatsapp.com/send?text="&amp;SUBSTITUTE(SUBSTITUTE("Hola "&amp;E53&amp;", tu cuenta de "&amp;A53&amp;" vence el "&amp;TEXT(I53,"dd/mm/yyyy")&amp;". Deseas renovarla?"," ","%20"),"?","%3F")),"Enviar recordatorio"))</f>
        <v/>
      </c>
      <c r="T53" s="14" t="n"/>
    </row>
    <row r="54" ht="15" customHeight="1" s="28">
      <c r="A54" s="14" t="n"/>
      <c r="B54" s="14" t="n"/>
      <c r="C54" s="14" t="n"/>
      <c r="D54" s="14" t="n"/>
      <c r="E54" s="14" t="n"/>
      <c r="F54" s="14" t="n"/>
      <c r="G54" s="14" t="n"/>
      <c r="H54" s="15" t="n"/>
      <c r="I54" s="15" t="n"/>
      <c r="J54" s="14" t="n"/>
      <c r="K54" s="16">
        <f>IFERROR(VLOOKUP(A54,Precios!$A$5:$C$14,2,FALSE()),"")</f>
        <v/>
      </c>
      <c r="L54" s="16">
        <f>IFERROR(VLOOKUP(A54,Precios!$A$5:$C$14,3,FALSE()),"")</f>
        <v/>
      </c>
      <c r="M54" s="16">
        <f>IF(AND(K54&lt;&gt;"",L54&lt;&gt;""),L54-K54,"")</f>
        <v/>
      </c>
      <c r="N54" s="14">
        <f>IF(AND(H54&lt;&gt;"",I54&lt;&gt;""),I54-H54,"")</f>
        <v/>
      </c>
      <c r="O54" s="14">
        <f>IF(I54&lt;&gt;"",I54-TODAY(),"")</f>
        <v/>
      </c>
      <c r="P54" s="15">
        <f>IF(I54="","",IF(J54="Anual",I54+365,I54+30))</f>
        <v/>
      </c>
      <c r="Q54" s="14">
        <f>IF(I54="","",IF(O54&lt;0,"Vencida",IF(O54&lt;=3,"Por vencer","Activa")))</f>
        <v/>
      </c>
      <c r="R54" s="14" t="n"/>
      <c r="S54" s="14">
        <f>IF(OR(E54="",I54=""),"",HYPERLINK(IF(F54&lt;&gt;"","https://wa.me/"&amp;SUBSTITUTE(SUBSTITUTE(SUBSTITUTE(F54,"+",""),"-","")," ","")&amp;"?text="&amp;SUBSTITUTE(SUBSTITUTE("Hola "&amp;E54&amp;", tu cuenta de "&amp;A54&amp;" vence el "&amp;TEXT(I54,"dd/mm/yyyy")&amp;". Deseas renovarla?"," ","%20"),"?","%3F"),"https://api.whatsapp.com/send?text="&amp;SUBSTITUTE(SUBSTITUTE("Hola "&amp;E54&amp;", tu cuenta de "&amp;A54&amp;" vence el "&amp;TEXT(I54,"dd/mm/yyyy")&amp;". Deseas renovarla?"," ","%20"),"?","%3F")),"Enviar recordatorio"))</f>
        <v/>
      </c>
      <c r="T54" s="14" t="n"/>
    </row>
    <row r="55" ht="15" customHeight="1" s="28">
      <c r="A55" s="14" t="n"/>
      <c r="B55" s="14" t="n"/>
      <c r="C55" s="14" t="n"/>
      <c r="D55" s="14" t="n"/>
      <c r="E55" s="14" t="n"/>
      <c r="F55" s="14" t="n"/>
      <c r="G55" s="14" t="n"/>
      <c r="H55" s="15" t="n"/>
      <c r="I55" s="15" t="n"/>
      <c r="J55" s="14" t="n"/>
      <c r="K55" s="16">
        <f>IFERROR(VLOOKUP(A55,Precios!$A$5:$C$14,2,FALSE()),"")</f>
        <v/>
      </c>
      <c r="L55" s="16">
        <f>IFERROR(VLOOKUP(A55,Precios!$A$5:$C$14,3,FALSE()),"")</f>
        <v/>
      </c>
      <c r="M55" s="16">
        <f>IF(AND(K55&lt;&gt;"",L55&lt;&gt;""),L55-K55,"")</f>
        <v/>
      </c>
      <c r="N55" s="14">
        <f>IF(AND(H55&lt;&gt;"",I55&lt;&gt;""),I55-H55,"")</f>
        <v/>
      </c>
      <c r="O55" s="14">
        <f>IF(I55&lt;&gt;"",I55-TODAY(),"")</f>
        <v/>
      </c>
      <c r="P55" s="15">
        <f>IF(I55="","",IF(J55="Anual",I55+365,I55+30))</f>
        <v/>
      </c>
      <c r="Q55" s="14">
        <f>IF(I55="","",IF(O55&lt;0,"Vencida",IF(O55&lt;=3,"Por vencer","Activa")))</f>
        <v/>
      </c>
      <c r="R55" s="14" t="n"/>
      <c r="S55" s="14">
        <f>IF(OR(E55="",I55=""),"",HYPERLINK(IF(F55&lt;&gt;"","https://wa.me/"&amp;SUBSTITUTE(SUBSTITUTE(SUBSTITUTE(F55,"+",""),"-","")," ","")&amp;"?text="&amp;SUBSTITUTE(SUBSTITUTE("Hola "&amp;E55&amp;", tu cuenta de "&amp;A55&amp;" vence el "&amp;TEXT(I55,"dd/mm/yyyy")&amp;". Deseas renovarla?"," ","%20"),"?","%3F"),"https://api.whatsapp.com/send?text="&amp;SUBSTITUTE(SUBSTITUTE("Hola "&amp;E55&amp;", tu cuenta de "&amp;A55&amp;" vence el "&amp;TEXT(I55,"dd/mm/yyyy")&amp;". Deseas renovarla?"," ","%20"),"?","%3F")),"Enviar recordatorio"))</f>
        <v/>
      </c>
      <c r="T55" s="14" t="n"/>
    </row>
    <row r="56" ht="15" customHeight="1" s="28">
      <c r="A56" s="14" t="n"/>
      <c r="B56" s="14" t="n"/>
      <c r="C56" s="14" t="n"/>
      <c r="D56" s="14" t="n"/>
      <c r="E56" s="14" t="n"/>
      <c r="F56" s="14" t="n"/>
      <c r="G56" s="14" t="n"/>
      <c r="H56" s="15" t="n"/>
      <c r="I56" s="15" t="n"/>
      <c r="J56" s="14" t="n"/>
      <c r="K56" s="16">
        <f>IFERROR(VLOOKUP(A56,Precios!$A$5:$C$14,2,FALSE()),"")</f>
        <v/>
      </c>
      <c r="L56" s="16">
        <f>IFERROR(VLOOKUP(A56,Precios!$A$5:$C$14,3,FALSE()),"")</f>
        <v/>
      </c>
      <c r="M56" s="16">
        <f>IF(AND(K56&lt;&gt;"",L56&lt;&gt;""),L56-K56,"")</f>
        <v/>
      </c>
      <c r="N56" s="14">
        <f>IF(AND(H56&lt;&gt;"",I56&lt;&gt;""),I56-H56,"")</f>
        <v/>
      </c>
      <c r="O56" s="14">
        <f>IF(I56&lt;&gt;"",I56-TODAY(),"")</f>
        <v/>
      </c>
      <c r="P56" s="15">
        <f>IF(I56="","",IF(J56="Anual",I56+365,I56+30))</f>
        <v/>
      </c>
      <c r="Q56" s="14">
        <f>IF(I56="","",IF(O56&lt;0,"Vencida",IF(O56&lt;=3,"Por vencer","Activa")))</f>
        <v/>
      </c>
      <c r="R56" s="14" t="n"/>
      <c r="S56" s="14">
        <f>IF(OR(E56="",I56=""),"",HYPERLINK(IF(F56&lt;&gt;"","https://wa.me/"&amp;SUBSTITUTE(SUBSTITUTE(SUBSTITUTE(F56,"+",""),"-","")," ","")&amp;"?text="&amp;SUBSTITUTE(SUBSTITUTE("Hola "&amp;E56&amp;", tu cuenta de "&amp;A56&amp;" vence el "&amp;TEXT(I56,"dd/mm/yyyy")&amp;". Deseas renovarla?"," ","%20"),"?","%3F"),"https://api.whatsapp.com/send?text="&amp;SUBSTITUTE(SUBSTITUTE("Hola "&amp;E56&amp;", tu cuenta de "&amp;A56&amp;" vence el "&amp;TEXT(I56,"dd/mm/yyyy")&amp;". Deseas renovarla?"," ","%20"),"?","%3F")),"Enviar recordatorio"))</f>
        <v/>
      </c>
      <c r="T56" s="14" t="n"/>
    </row>
    <row r="57" ht="15" customHeight="1" s="28">
      <c r="A57" s="14" t="n"/>
      <c r="B57" s="14" t="n"/>
      <c r="C57" s="14" t="n"/>
      <c r="D57" s="14" t="n"/>
      <c r="E57" s="14" t="n"/>
      <c r="F57" s="14" t="n"/>
      <c r="G57" s="14" t="n"/>
      <c r="H57" s="15" t="n"/>
      <c r="I57" s="15" t="n"/>
      <c r="J57" s="14" t="n"/>
      <c r="K57" s="16">
        <f>IFERROR(VLOOKUP(A57,Precios!$A$5:$C$14,2,FALSE()),"")</f>
        <v/>
      </c>
      <c r="L57" s="16">
        <f>IFERROR(VLOOKUP(A57,Precios!$A$5:$C$14,3,FALSE()),"")</f>
        <v/>
      </c>
      <c r="M57" s="16">
        <f>IF(AND(K57&lt;&gt;"",L57&lt;&gt;""),L57-K57,"")</f>
        <v/>
      </c>
      <c r="N57" s="14">
        <f>IF(AND(H57&lt;&gt;"",I57&lt;&gt;""),I57-H57,"")</f>
        <v/>
      </c>
      <c r="O57" s="14">
        <f>IF(I57&lt;&gt;"",I57-TODAY(),"")</f>
        <v/>
      </c>
      <c r="P57" s="15">
        <f>IF(I57="","",IF(J57="Anual",I57+365,I57+30))</f>
        <v/>
      </c>
      <c r="Q57" s="14">
        <f>IF(I57="","",IF(O57&lt;0,"Vencida",IF(O57&lt;=3,"Por vencer","Activa")))</f>
        <v/>
      </c>
      <c r="R57" s="14" t="n"/>
      <c r="S57" s="14">
        <f>IF(OR(E57="",I57=""),"",HYPERLINK(IF(F57&lt;&gt;"","https://wa.me/"&amp;SUBSTITUTE(SUBSTITUTE(SUBSTITUTE(F57,"+",""),"-","")," ","")&amp;"?text="&amp;SUBSTITUTE(SUBSTITUTE("Hola "&amp;E57&amp;", tu cuenta de "&amp;A57&amp;" vence el "&amp;TEXT(I57,"dd/mm/yyyy")&amp;". Deseas renovarla?"," ","%20"),"?","%3F"),"https://api.whatsapp.com/send?text="&amp;SUBSTITUTE(SUBSTITUTE("Hola "&amp;E57&amp;", tu cuenta de "&amp;A57&amp;" vence el "&amp;TEXT(I57,"dd/mm/yyyy")&amp;". Deseas renovarla?"," ","%20"),"?","%3F")),"Enviar recordatorio"))</f>
        <v/>
      </c>
      <c r="T57" s="14" t="n"/>
    </row>
    <row r="58" ht="15" customHeight="1" s="28">
      <c r="A58" s="14" t="n"/>
      <c r="B58" s="14" t="n"/>
      <c r="C58" s="14" t="n"/>
      <c r="D58" s="14" t="n"/>
      <c r="E58" s="14" t="n"/>
      <c r="F58" s="14" t="n"/>
      <c r="G58" s="14" t="n"/>
      <c r="H58" s="15" t="n"/>
      <c r="I58" s="15" t="n"/>
      <c r="J58" s="14" t="n"/>
      <c r="K58" s="16">
        <f>IFERROR(VLOOKUP(A58,Precios!$A$5:$C$14,2,FALSE()),"")</f>
        <v/>
      </c>
      <c r="L58" s="16">
        <f>IFERROR(VLOOKUP(A58,Precios!$A$5:$C$14,3,FALSE()),"")</f>
        <v/>
      </c>
      <c r="M58" s="16">
        <f>IF(AND(K58&lt;&gt;"",L58&lt;&gt;""),L58-K58,"")</f>
        <v/>
      </c>
      <c r="N58" s="14">
        <f>IF(AND(H58&lt;&gt;"",I58&lt;&gt;""),I58-H58,"")</f>
        <v/>
      </c>
      <c r="O58" s="14">
        <f>IF(I58&lt;&gt;"",I58-TODAY(),"")</f>
        <v/>
      </c>
      <c r="P58" s="15">
        <f>IF(I58="","",IF(J58="Anual",I58+365,I58+30))</f>
        <v/>
      </c>
      <c r="Q58" s="14">
        <f>IF(I58="","",IF(O58&lt;0,"Vencida",IF(O58&lt;=3,"Por vencer","Activa")))</f>
        <v/>
      </c>
      <c r="R58" s="14" t="n"/>
      <c r="S58" s="14">
        <f>IF(OR(E58="",I58=""),"",HYPERLINK(IF(F58&lt;&gt;"","https://wa.me/"&amp;SUBSTITUTE(SUBSTITUTE(SUBSTITUTE(F58,"+",""),"-","")," ","")&amp;"?text="&amp;SUBSTITUTE(SUBSTITUTE("Hola "&amp;E58&amp;", tu cuenta de "&amp;A58&amp;" vence el "&amp;TEXT(I58,"dd/mm/yyyy")&amp;". Deseas renovarla?"," ","%20"),"?","%3F"),"https://api.whatsapp.com/send?text="&amp;SUBSTITUTE(SUBSTITUTE("Hola "&amp;E58&amp;", tu cuenta de "&amp;A58&amp;" vence el "&amp;TEXT(I58,"dd/mm/yyyy")&amp;". Deseas renovarla?"," ","%20"),"?","%3F")),"Enviar recordatorio"))</f>
        <v/>
      </c>
      <c r="T58" s="14" t="n"/>
    </row>
    <row r="59" ht="15" customHeight="1" s="28">
      <c r="A59" s="14" t="n"/>
      <c r="B59" s="14" t="n"/>
      <c r="C59" s="14" t="n"/>
      <c r="D59" s="14" t="n"/>
      <c r="E59" s="14" t="n"/>
      <c r="F59" s="14" t="n"/>
      <c r="G59" s="14" t="n"/>
      <c r="H59" s="15" t="n"/>
      <c r="I59" s="15" t="n"/>
      <c r="J59" s="14" t="n"/>
      <c r="K59" s="16">
        <f>IFERROR(VLOOKUP(A59,Precios!$A$5:$C$14,2,FALSE()),"")</f>
        <v/>
      </c>
      <c r="L59" s="16">
        <f>IFERROR(VLOOKUP(A59,Precios!$A$5:$C$14,3,FALSE()),"")</f>
        <v/>
      </c>
      <c r="M59" s="16">
        <f>IF(AND(K59&lt;&gt;"",L59&lt;&gt;""),L59-K59,"")</f>
        <v/>
      </c>
      <c r="N59" s="14">
        <f>IF(AND(H59&lt;&gt;"",I59&lt;&gt;""),I59-H59,"")</f>
        <v/>
      </c>
      <c r="O59" s="14">
        <f>IF(I59&lt;&gt;"",I59-TODAY(),"")</f>
        <v/>
      </c>
      <c r="P59" s="15">
        <f>IF(I59="","",IF(J59="Anual",I59+365,I59+30))</f>
        <v/>
      </c>
      <c r="Q59" s="14">
        <f>IF(I59="","",IF(O59&lt;0,"Vencida",IF(O59&lt;=3,"Por vencer","Activa")))</f>
        <v/>
      </c>
      <c r="R59" s="14" t="n"/>
      <c r="S59" s="14">
        <f>IF(OR(E59="",I59=""),"",HYPERLINK(IF(F59&lt;&gt;"","https://wa.me/"&amp;SUBSTITUTE(SUBSTITUTE(SUBSTITUTE(F59,"+",""),"-","")," ","")&amp;"?text="&amp;SUBSTITUTE(SUBSTITUTE("Hola "&amp;E59&amp;", tu cuenta de "&amp;A59&amp;" vence el "&amp;TEXT(I59,"dd/mm/yyyy")&amp;". Deseas renovarla?"," ","%20"),"?","%3F"),"https://api.whatsapp.com/send?text="&amp;SUBSTITUTE(SUBSTITUTE("Hola "&amp;E59&amp;", tu cuenta de "&amp;A59&amp;" vence el "&amp;TEXT(I59,"dd/mm/yyyy")&amp;". Deseas renovarla?"," ","%20"),"?","%3F")),"Enviar recordatorio"))</f>
        <v/>
      </c>
      <c r="T59" s="14" t="n"/>
    </row>
    <row r="60" ht="15" customHeight="1" s="28">
      <c r="A60" s="14" t="n"/>
      <c r="B60" s="14" t="n"/>
      <c r="C60" s="14" t="n"/>
      <c r="D60" s="14" t="n"/>
      <c r="E60" s="14" t="n"/>
      <c r="F60" s="14" t="n"/>
      <c r="G60" s="14" t="n"/>
      <c r="H60" s="15" t="n"/>
      <c r="I60" s="15" t="n"/>
      <c r="J60" s="14" t="n"/>
      <c r="K60" s="16">
        <f>IFERROR(VLOOKUP(A60,Precios!$A$5:$C$14,2,FALSE()),"")</f>
        <v/>
      </c>
      <c r="L60" s="16">
        <f>IFERROR(VLOOKUP(A60,Precios!$A$5:$C$14,3,FALSE()),"")</f>
        <v/>
      </c>
      <c r="M60" s="16">
        <f>IF(AND(K60&lt;&gt;"",L60&lt;&gt;""),L60-K60,"")</f>
        <v/>
      </c>
      <c r="N60" s="14">
        <f>IF(AND(H60&lt;&gt;"",I60&lt;&gt;""),I60-H60,"")</f>
        <v/>
      </c>
      <c r="O60" s="14">
        <f>IF(I60&lt;&gt;"",I60-TODAY(),"")</f>
        <v/>
      </c>
      <c r="P60" s="15">
        <f>IF(I60="","",IF(J60="Anual",I60+365,I60+30))</f>
        <v/>
      </c>
      <c r="Q60" s="14">
        <f>IF(I60="","",IF(O60&lt;0,"Vencida",IF(O60&lt;=3,"Por vencer","Activa")))</f>
        <v/>
      </c>
      <c r="R60" s="14" t="n"/>
      <c r="S60" s="14">
        <f>IF(OR(E60="",I60=""),"",HYPERLINK(IF(F60&lt;&gt;"","https://wa.me/"&amp;SUBSTITUTE(SUBSTITUTE(SUBSTITUTE(F60,"+",""),"-","")," ","")&amp;"?text="&amp;SUBSTITUTE(SUBSTITUTE("Hola "&amp;E60&amp;", tu cuenta de "&amp;A60&amp;" vence el "&amp;TEXT(I60,"dd/mm/yyyy")&amp;". Deseas renovarla?"," ","%20"),"?","%3F"),"https://api.whatsapp.com/send?text="&amp;SUBSTITUTE(SUBSTITUTE("Hola "&amp;E60&amp;", tu cuenta de "&amp;A60&amp;" vence el "&amp;TEXT(I60,"dd/mm/yyyy")&amp;". Deseas renovarla?"," ","%20"),"?","%3F")),"Enviar recordatorio"))</f>
        <v/>
      </c>
      <c r="T60" s="14" t="n"/>
    </row>
    <row r="61" ht="15" customHeight="1" s="28">
      <c r="A61" s="14" t="n"/>
      <c r="B61" s="14" t="n"/>
      <c r="C61" s="14" t="n"/>
      <c r="D61" s="14" t="n"/>
      <c r="E61" s="14" t="n"/>
      <c r="F61" s="14" t="n"/>
      <c r="G61" s="14" t="n"/>
      <c r="H61" s="15" t="n"/>
      <c r="I61" s="15" t="n"/>
      <c r="J61" s="14" t="n"/>
      <c r="K61" s="16">
        <f>IFERROR(VLOOKUP(A61,Precios!$A$5:$C$14,2,FALSE()),"")</f>
        <v/>
      </c>
      <c r="L61" s="16">
        <f>IFERROR(VLOOKUP(A61,Precios!$A$5:$C$14,3,FALSE()),"")</f>
        <v/>
      </c>
      <c r="M61" s="16">
        <f>IF(AND(K61&lt;&gt;"",L61&lt;&gt;""),L61-K61,"")</f>
        <v/>
      </c>
      <c r="N61" s="14">
        <f>IF(AND(H61&lt;&gt;"",I61&lt;&gt;""),I61-H61,"")</f>
        <v/>
      </c>
      <c r="O61" s="14">
        <f>IF(I61&lt;&gt;"",I61-TODAY(),"")</f>
        <v/>
      </c>
      <c r="P61" s="15">
        <f>IF(I61="","",IF(J61="Anual",I61+365,I61+30))</f>
        <v/>
      </c>
      <c r="Q61" s="14">
        <f>IF(I61="","",IF(O61&lt;0,"Vencida",IF(O61&lt;=3,"Por vencer","Activa")))</f>
        <v/>
      </c>
      <c r="R61" s="14" t="n"/>
      <c r="S61" s="14">
        <f>IF(OR(E61="",I61=""),"",HYPERLINK(IF(F61&lt;&gt;"","https://wa.me/"&amp;SUBSTITUTE(SUBSTITUTE(SUBSTITUTE(F61,"+",""),"-","")," ","")&amp;"?text="&amp;SUBSTITUTE(SUBSTITUTE("Hola "&amp;E61&amp;", tu cuenta de "&amp;A61&amp;" vence el "&amp;TEXT(I61,"dd/mm/yyyy")&amp;". Deseas renovarla?"," ","%20"),"?","%3F"),"https://api.whatsapp.com/send?text="&amp;SUBSTITUTE(SUBSTITUTE("Hola "&amp;E61&amp;", tu cuenta de "&amp;A61&amp;" vence el "&amp;TEXT(I61,"dd/mm/yyyy")&amp;". Deseas renovarla?"," ","%20"),"?","%3F")),"Enviar recordatorio"))</f>
        <v/>
      </c>
      <c r="T61" s="14" t="n"/>
    </row>
    <row r="62" ht="15" customHeight="1" s="28">
      <c r="A62" s="14" t="n"/>
      <c r="B62" s="14" t="n"/>
      <c r="C62" s="14" t="n"/>
      <c r="D62" s="14" t="n"/>
      <c r="E62" s="14" t="n"/>
      <c r="F62" s="14" t="n"/>
      <c r="G62" s="14" t="n"/>
      <c r="H62" s="15" t="n"/>
      <c r="I62" s="15" t="n"/>
      <c r="J62" s="14" t="n"/>
      <c r="K62" s="16">
        <f>IFERROR(VLOOKUP(A62,Precios!$A$5:$C$14,2,FALSE()),"")</f>
        <v/>
      </c>
      <c r="L62" s="16">
        <f>IFERROR(VLOOKUP(A62,Precios!$A$5:$C$14,3,FALSE()),"")</f>
        <v/>
      </c>
      <c r="M62" s="16">
        <f>IF(AND(K62&lt;&gt;"",L62&lt;&gt;""),L62-K62,"")</f>
        <v/>
      </c>
      <c r="N62" s="14">
        <f>IF(AND(H62&lt;&gt;"",I62&lt;&gt;""),I62-H62,"")</f>
        <v/>
      </c>
      <c r="O62" s="14">
        <f>IF(I62&lt;&gt;"",I62-TODAY(),"")</f>
        <v/>
      </c>
      <c r="P62" s="15">
        <f>IF(I62="","",IF(J62="Anual",I62+365,I62+30))</f>
        <v/>
      </c>
      <c r="Q62" s="14">
        <f>IF(I62="","",IF(O62&lt;0,"Vencida",IF(O62&lt;=3,"Por vencer","Activa")))</f>
        <v/>
      </c>
      <c r="R62" s="14" t="n"/>
      <c r="S62" s="14">
        <f>IF(OR(E62="",I62=""),"",HYPERLINK(IF(F62&lt;&gt;"","https://wa.me/"&amp;SUBSTITUTE(SUBSTITUTE(SUBSTITUTE(F62,"+",""),"-","")," ","")&amp;"?text="&amp;SUBSTITUTE(SUBSTITUTE("Hola "&amp;E62&amp;", tu cuenta de "&amp;A62&amp;" vence el "&amp;TEXT(I62,"dd/mm/yyyy")&amp;". Deseas renovarla?"," ","%20"),"?","%3F"),"https://api.whatsapp.com/send?text="&amp;SUBSTITUTE(SUBSTITUTE("Hola "&amp;E62&amp;", tu cuenta de "&amp;A62&amp;" vence el "&amp;TEXT(I62,"dd/mm/yyyy")&amp;". Deseas renovarla?"," ","%20"),"?","%3F")),"Enviar recordatorio"))</f>
        <v/>
      </c>
      <c r="T62" s="14" t="n"/>
    </row>
    <row r="63" ht="15" customHeight="1" s="28">
      <c r="A63" s="14" t="n"/>
      <c r="B63" s="14" t="n"/>
      <c r="C63" s="14" t="n"/>
      <c r="D63" s="14" t="n"/>
      <c r="E63" s="14" t="n"/>
      <c r="F63" s="14" t="n"/>
      <c r="G63" s="14" t="n"/>
      <c r="H63" s="15" t="n"/>
      <c r="I63" s="15" t="n"/>
      <c r="J63" s="14" t="n"/>
      <c r="K63" s="16">
        <f>IFERROR(VLOOKUP(A63,Precios!$A$5:$C$14,2,FALSE()),"")</f>
        <v/>
      </c>
      <c r="L63" s="16">
        <f>IFERROR(VLOOKUP(A63,Precios!$A$5:$C$14,3,FALSE()),"")</f>
        <v/>
      </c>
      <c r="M63" s="16">
        <f>IF(AND(K63&lt;&gt;"",L63&lt;&gt;""),L63-K63,"")</f>
        <v/>
      </c>
      <c r="N63" s="14">
        <f>IF(AND(H63&lt;&gt;"",I63&lt;&gt;""),I63-H63,"")</f>
        <v/>
      </c>
      <c r="O63" s="14">
        <f>IF(I63&lt;&gt;"",I63-TODAY(),"")</f>
        <v/>
      </c>
      <c r="P63" s="15">
        <f>IF(I63="","",IF(J63="Anual",I63+365,I63+30))</f>
        <v/>
      </c>
      <c r="Q63" s="14">
        <f>IF(I63="","",IF(O63&lt;0,"Vencida",IF(O63&lt;=3,"Por vencer","Activa")))</f>
        <v/>
      </c>
      <c r="R63" s="14" t="n"/>
      <c r="S63" s="14">
        <f>IF(OR(E63="",I63=""),"",HYPERLINK(IF(F63&lt;&gt;"","https://wa.me/"&amp;SUBSTITUTE(SUBSTITUTE(SUBSTITUTE(F63,"+",""),"-","")," ","")&amp;"?text="&amp;SUBSTITUTE(SUBSTITUTE("Hola "&amp;E63&amp;", tu cuenta de "&amp;A63&amp;" vence el "&amp;TEXT(I63,"dd/mm/yyyy")&amp;". Deseas renovarla?"," ","%20"),"?","%3F"),"https://api.whatsapp.com/send?text="&amp;SUBSTITUTE(SUBSTITUTE("Hola "&amp;E63&amp;", tu cuenta de "&amp;A63&amp;" vence el "&amp;TEXT(I63,"dd/mm/yyyy")&amp;". Deseas renovarla?"," ","%20"),"?","%3F")),"Enviar recordatorio"))</f>
        <v/>
      </c>
      <c r="T63" s="14" t="n"/>
    </row>
    <row r="64" ht="15" customHeight="1" s="28">
      <c r="A64" s="14" t="n"/>
      <c r="B64" s="14" t="n"/>
      <c r="C64" s="14" t="n"/>
      <c r="D64" s="14" t="n"/>
      <c r="E64" s="14" t="n"/>
      <c r="F64" s="14" t="n"/>
      <c r="G64" s="14" t="n"/>
      <c r="H64" s="15" t="n"/>
      <c r="I64" s="15" t="n"/>
      <c r="J64" s="14" t="n"/>
      <c r="K64" s="16">
        <f>IFERROR(VLOOKUP(A64,Precios!$A$5:$C$14,2,FALSE()),"")</f>
        <v/>
      </c>
      <c r="L64" s="16">
        <f>IFERROR(VLOOKUP(A64,Precios!$A$5:$C$14,3,FALSE()),"")</f>
        <v/>
      </c>
      <c r="M64" s="16">
        <f>IF(AND(K64&lt;&gt;"",L64&lt;&gt;""),L64-K64,"")</f>
        <v/>
      </c>
      <c r="N64" s="14">
        <f>IF(AND(H64&lt;&gt;"",I64&lt;&gt;""),I64-H64,"")</f>
        <v/>
      </c>
      <c r="O64" s="14">
        <f>IF(I64&lt;&gt;"",I64-TODAY(),"")</f>
        <v/>
      </c>
      <c r="P64" s="15">
        <f>IF(I64="","",IF(J64="Anual",I64+365,I64+30))</f>
        <v/>
      </c>
      <c r="Q64" s="14">
        <f>IF(I64="","",IF(O64&lt;0,"Vencida",IF(O64&lt;=3,"Por vencer","Activa")))</f>
        <v/>
      </c>
      <c r="R64" s="14" t="n"/>
      <c r="S64" s="14">
        <f>IF(OR(E64="",I64=""),"",HYPERLINK(IF(F64&lt;&gt;"","https://wa.me/"&amp;SUBSTITUTE(SUBSTITUTE(SUBSTITUTE(F64,"+",""),"-","")," ","")&amp;"?text="&amp;SUBSTITUTE(SUBSTITUTE("Hola "&amp;E64&amp;", tu cuenta de "&amp;A64&amp;" vence el "&amp;TEXT(I64,"dd/mm/yyyy")&amp;". Deseas renovarla?"," ","%20"),"?","%3F"),"https://api.whatsapp.com/send?text="&amp;SUBSTITUTE(SUBSTITUTE("Hola "&amp;E64&amp;", tu cuenta de "&amp;A64&amp;" vence el "&amp;TEXT(I64,"dd/mm/yyyy")&amp;". Deseas renovarla?"," ","%20"),"?","%3F")),"Enviar recordatorio"))</f>
        <v/>
      </c>
      <c r="T64" s="14" t="n"/>
    </row>
    <row r="65" ht="15" customHeight="1" s="28">
      <c r="A65" s="14" t="n"/>
      <c r="B65" s="14" t="n"/>
      <c r="C65" s="14" t="n"/>
      <c r="D65" s="14" t="n"/>
      <c r="E65" s="14" t="n"/>
      <c r="F65" s="14" t="n"/>
      <c r="G65" s="14" t="n"/>
      <c r="H65" s="15" t="n"/>
      <c r="I65" s="15" t="n"/>
      <c r="J65" s="14" t="n"/>
      <c r="K65" s="16">
        <f>IFERROR(VLOOKUP(A65,Precios!$A$5:$C$14,2,FALSE()),"")</f>
        <v/>
      </c>
      <c r="L65" s="16">
        <f>IFERROR(VLOOKUP(A65,Precios!$A$5:$C$14,3,FALSE()),"")</f>
        <v/>
      </c>
      <c r="M65" s="16">
        <f>IF(AND(K65&lt;&gt;"",L65&lt;&gt;""),L65-K65,"")</f>
        <v/>
      </c>
      <c r="N65" s="14">
        <f>IF(AND(H65&lt;&gt;"",I65&lt;&gt;""),I65-H65,"")</f>
        <v/>
      </c>
      <c r="O65" s="14">
        <f>IF(I65&lt;&gt;"",I65-TODAY(),"")</f>
        <v/>
      </c>
      <c r="P65" s="15">
        <f>IF(I65="","",IF(J65="Anual",I65+365,I65+30))</f>
        <v/>
      </c>
      <c r="Q65" s="14">
        <f>IF(I65="","",IF(O65&lt;0,"Vencida",IF(O65&lt;=3,"Por vencer","Activa")))</f>
        <v/>
      </c>
      <c r="R65" s="14" t="n"/>
      <c r="S65" s="14">
        <f>IF(OR(E65="",I65=""),"",HYPERLINK(IF(F65&lt;&gt;"","https://wa.me/"&amp;SUBSTITUTE(SUBSTITUTE(SUBSTITUTE(F65,"+",""),"-","")," ","")&amp;"?text="&amp;SUBSTITUTE(SUBSTITUTE("Hola "&amp;E65&amp;", tu cuenta de "&amp;A65&amp;" vence el "&amp;TEXT(I65,"dd/mm/yyyy")&amp;". Deseas renovarla?"," ","%20"),"?","%3F"),"https://api.whatsapp.com/send?text="&amp;SUBSTITUTE(SUBSTITUTE("Hola "&amp;E65&amp;", tu cuenta de "&amp;A65&amp;" vence el "&amp;TEXT(I65,"dd/mm/yyyy")&amp;". Deseas renovarla?"," ","%20"),"?","%3F")),"Enviar recordatorio"))</f>
        <v/>
      </c>
      <c r="T65" s="14" t="n"/>
    </row>
    <row r="66" ht="15" customHeight="1" s="28">
      <c r="A66" s="14" t="n"/>
      <c r="B66" s="14" t="n"/>
      <c r="C66" s="14" t="n"/>
      <c r="D66" s="14" t="n"/>
      <c r="E66" s="14" t="n"/>
      <c r="F66" s="14" t="n"/>
      <c r="G66" s="14" t="n"/>
      <c r="H66" s="15" t="n"/>
      <c r="I66" s="15" t="n"/>
      <c r="J66" s="14" t="n"/>
      <c r="K66" s="16">
        <f>IFERROR(VLOOKUP(A66,Precios!$A$5:$C$14,2,FALSE()),"")</f>
        <v/>
      </c>
      <c r="L66" s="16">
        <f>IFERROR(VLOOKUP(A66,Precios!$A$5:$C$14,3,FALSE()),"")</f>
        <v/>
      </c>
      <c r="M66" s="16">
        <f>IF(AND(K66&lt;&gt;"",L66&lt;&gt;""),L66-K66,"")</f>
        <v/>
      </c>
      <c r="N66" s="14">
        <f>IF(AND(H66&lt;&gt;"",I66&lt;&gt;""),I66-H66,"")</f>
        <v/>
      </c>
      <c r="O66" s="14">
        <f>IF(I66&lt;&gt;"",I66-TODAY(),"")</f>
        <v/>
      </c>
      <c r="P66" s="15">
        <f>IF(I66="","",IF(J66="Anual",I66+365,I66+30))</f>
        <v/>
      </c>
      <c r="Q66" s="14">
        <f>IF(I66="","",IF(O66&lt;0,"Vencida",IF(O66&lt;=3,"Por vencer","Activa")))</f>
        <v/>
      </c>
      <c r="R66" s="14" t="n"/>
      <c r="S66" s="14">
        <f>IF(OR(E66="",I66=""),"",HYPERLINK(IF(F66&lt;&gt;"","https://wa.me/"&amp;SUBSTITUTE(SUBSTITUTE(SUBSTITUTE(F66,"+",""),"-","")," ","")&amp;"?text="&amp;SUBSTITUTE(SUBSTITUTE("Hola "&amp;E66&amp;", tu cuenta de "&amp;A66&amp;" vence el "&amp;TEXT(I66,"dd/mm/yyyy")&amp;". Deseas renovarla?"," ","%20"),"?","%3F"),"https://api.whatsapp.com/send?text="&amp;SUBSTITUTE(SUBSTITUTE("Hola "&amp;E66&amp;", tu cuenta de "&amp;A66&amp;" vence el "&amp;TEXT(I66,"dd/mm/yyyy")&amp;". Deseas renovarla?"," ","%20"),"?","%3F")),"Enviar recordatorio"))</f>
        <v/>
      </c>
      <c r="T66" s="14" t="n"/>
    </row>
    <row r="67" ht="15" customHeight="1" s="28">
      <c r="A67" s="14" t="n"/>
      <c r="B67" s="14" t="n"/>
      <c r="C67" s="14" t="n"/>
      <c r="D67" s="14" t="n"/>
      <c r="E67" s="14" t="n"/>
      <c r="F67" s="14" t="n"/>
      <c r="G67" s="14" t="n"/>
      <c r="H67" s="15" t="n"/>
      <c r="I67" s="15" t="n"/>
      <c r="J67" s="14" t="n"/>
      <c r="K67" s="16">
        <f>IFERROR(VLOOKUP(A67,Precios!$A$5:$C$14,2,FALSE()),"")</f>
        <v/>
      </c>
      <c r="L67" s="16">
        <f>IFERROR(VLOOKUP(A67,Precios!$A$5:$C$14,3,FALSE()),"")</f>
        <v/>
      </c>
      <c r="M67" s="16">
        <f>IF(AND(K67&lt;&gt;"",L67&lt;&gt;""),L67-K67,"")</f>
        <v/>
      </c>
      <c r="N67" s="14">
        <f>IF(AND(H67&lt;&gt;"",I67&lt;&gt;""),I67-H67,"")</f>
        <v/>
      </c>
      <c r="O67" s="14">
        <f>IF(I67&lt;&gt;"",I67-TODAY(),"")</f>
        <v/>
      </c>
      <c r="P67" s="15">
        <f>IF(I67="","",IF(J67="Anual",I67+365,I67+30))</f>
        <v/>
      </c>
      <c r="Q67" s="14">
        <f>IF(I67="","",IF(O67&lt;0,"Vencida",IF(O67&lt;=3,"Por vencer","Activa")))</f>
        <v/>
      </c>
      <c r="R67" s="14" t="n"/>
      <c r="S67" s="14">
        <f>IF(OR(E67="",I67=""),"",HYPERLINK(IF(F67&lt;&gt;"","https://wa.me/"&amp;SUBSTITUTE(SUBSTITUTE(SUBSTITUTE(F67,"+",""),"-","")," ","")&amp;"?text="&amp;SUBSTITUTE(SUBSTITUTE("Hola "&amp;E67&amp;", tu cuenta de "&amp;A67&amp;" vence el "&amp;TEXT(I67,"dd/mm/yyyy")&amp;". Deseas renovarla?"," ","%20"),"?","%3F"),"https://api.whatsapp.com/send?text="&amp;SUBSTITUTE(SUBSTITUTE("Hola "&amp;E67&amp;", tu cuenta de "&amp;A67&amp;" vence el "&amp;TEXT(I67,"dd/mm/yyyy")&amp;". Deseas renovarla?"," ","%20"),"?","%3F")),"Enviar recordatorio"))</f>
        <v/>
      </c>
      <c r="T67" s="14" t="n"/>
    </row>
    <row r="68" ht="15" customHeight="1" s="28">
      <c r="A68" s="14" t="n"/>
      <c r="B68" s="14" t="n"/>
      <c r="C68" s="14" t="n"/>
      <c r="D68" s="14" t="n"/>
      <c r="E68" s="14" t="n"/>
      <c r="F68" s="14" t="n"/>
      <c r="G68" s="14" t="n"/>
      <c r="H68" s="15" t="n"/>
      <c r="I68" s="15" t="n"/>
      <c r="J68" s="14" t="n"/>
      <c r="K68" s="16">
        <f>IFERROR(VLOOKUP(A68,Precios!$A$5:$C$14,2,FALSE()),"")</f>
        <v/>
      </c>
      <c r="L68" s="16">
        <f>IFERROR(VLOOKUP(A68,Precios!$A$5:$C$14,3,FALSE()),"")</f>
        <v/>
      </c>
      <c r="M68" s="16">
        <f>IF(AND(K68&lt;&gt;"",L68&lt;&gt;""),L68-K68,"")</f>
        <v/>
      </c>
      <c r="N68" s="14">
        <f>IF(AND(H68&lt;&gt;"",I68&lt;&gt;""),I68-H68,"")</f>
        <v/>
      </c>
      <c r="O68" s="14">
        <f>IF(I68&lt;&gt;"",I68-TODAY(),"")</f>
        <v/>
      </c>
      <c r="P68" s="15">
        <f>IF(I68="","",IF(J68="Anual",I68+365,I68+30))</f>
        <v/>
      </c>
      <c r="Q68" s="14">
        <f>IF(I68="","",IF(O68&lt;0,"Vencida",IF(O68&lt;=3,"Por vencer","Activa")))</f>
        <v/>
      </c>
      <c r="R68" s="14" t="n"/>
      <c r="S68" s="14">
        <f>IF(OR(E68="",I68=""),"",HYPERLINK(IF(F68&lt;&gt;"","https://wa.me/"&amp;SUBSTITUTE(SUBSTITUTE(SUBSTITUTE(F68,"+",""),"-","")," ","")&amp;"?text="&amp;SUBSTITUTE(SUBSTITUTE("Hola "&amp;E68&amp;", tu cuenta de "&amp;A68&amp;" vence el "&amp;TEXT(I68,"dd/mm/yyyy")&amp;". Deseas renovarla?"," ","%20"),"?","%3F"),"https://api.whatsapp.com/send?text="&amp;SUBSTITUTE(SUBSTITUTE("Hola "&amp;E68&amp;", tu cuenta de "&amp;A68&amp;" vence el "&amp;TEXT(I68,"dd/mm/yyyy")&amp;". Deseas renovarla?"," ","%20"),"?","%3F")),"Enviar recordatorio"))</f>
        <v/>
      </c>
      <c r="T68" s="14" t="n"/>
    </row>
    <row r="69" ht="15" customHeight="1" s="28">
      <c r="A69" s="14" t="n"/>
      <c r="B69" s="14" t="n"/>
      <c r="C69" s="14" t="n"/>
      <c r="D69" s="14" t="n"/>
      <c r="E69" s="14" t="n"/>
      <c r="F69" s="14" t="n"/>
      <c r="G69" s="14" t="n"/>
      <c r="H69" s="15" t="n"/>
      <c r="I69" s="15" t="n"/>
      <c r="J69" s="14" t="n"/>
      <c r="K69" s="16">
        <f>IFERROR(VLOOKUP(A69,Precios!$A$5:$C$14,2,FALSE()),"")</f>
        <v/>
      </c>
      <c r="L69" s="16">
        <f>IFERROR(VLOOKUP(A69,Precios!$A$5:$C$14,3,FALSE()),"")</f>
        <v/>
      </c>
      <c r="M69" s="16">
        <f>IF(AND(K69&lt;&gt;"",L69&lt;&gt;""),L69-K69,"")</f>
        <v/>
      </c>
      <c r="N69" s="14">
        <f>IF(AND(H69&lt;&gt;"",I69&lt;&gt;""),I69-H69,"")</f>
        <v/>
      </c>
      <c r="O69" s="14">
        <f>IF(I69&lt;&gt;"",I69-TODAY(),"")</f>
        <v/>
      </c>
      <c r="P69" s="15">
        <f>IF(I69="","",IF(J69="Anual",I69+365,I69+30))</f>
        <v/>
      </c>
      <c r="Q69" s="14">
        <f>IF(I69="","",IF(O69&lt;0,"Vencida",IF(O69&lt;=3,"Por vencer","Activa")))</f>
        <v/>
      </c>
      <c r="R69" s="14" t="n"/>
      <c r="S69" s="14">
        <f>IF(OR(E69="",I69=""),"",HYPERLINK(IF(F69&lt;&gt;"","https://wa.me/"&amp;SUBSTITUTE(SUBSTITUTE(SUBSTITUTE(F69,"+",""),"-","")," ","")&amp;"?text="&amp;SUBSTITUTE(SUBSTITUTE("Hola "&amp;E69&amp;", tu cuenta de "&amp;A69&amp;" vence el "&amp;TEXT(I69,"dd/mm/yyyy")&amp;". Deseas renovarla?"," ","%20"),"?","%3F"),"https://api.whatsapp.com/send?text="&amp;SUBSTITUTE(SUBSTITUTE("Hola "&amp;E69&amp;", tu cuenta de "&amp;A69&amp;" vence el "&amp;TEXT(I69,"dd/mm/yyyy")&amp;". Deseas renovarla?"," ","%20"),"?","%3F")),"Enviar recordatorio"))</f>
        <v/>
      </c>
      <c r="T69" s="14" t="n"/>
    </row>
    <row r="70" ht="15" customHeight="1" s="28">
      <c r="A70" s="14" t="n"/>
      <c r="B70" s="14" t="n"/>
      <c r="C70" s="14" t="n"/>
      <c r="D70" s="14" t="n"/>
      <c r="E70" s="14" t="n"/>
      <c r="F70" s="14" t="n"/>
      <c r="G70" s="14" t="n"/>
      <c r="H70" s="15" t="n"/>
      <c r="I70" s="15" t="n"/>
      <c r="J70" s="14" t="n"/>
      <c r="K70" s="16">
        <f>IFERROR(VLOOKUP(A70,Precios!$A$5:$C$14,2,FALSE()),"")</f>
        <v/>
      </c>
      <c r="L70" s="16">
        <f>IFERROR(VLOOKUP(A70,Precios!$A$5:$C$14,3,FALSE()),"")</f>
        <v/>
      </c>
      <c r="M70" s="16">
        <f>IF(AND(K70&lt;&gt;"",L70&lt;&gt;""),L70-K70,"")</f>
        <v/>
      </c>
      <c r="N70" s="14">
        <f>IF(AND(H70&lt;&gt;"",I70&lt;&gt;""),I70-H70,"")</f>
        <v/>
      </c>
      <c r="O70" s="14">
        <f>IF(I70&lt;&gt;"",I70-TODAY(),"")</f>
        <v/>
      </c>
      <c r="P70" s="15">
        <f>IF(I70="","",IF(J70="Anual",I70+365,I70+30))</f>
        <v/>
      </c>
      <c r="Q70" s="14">
        <f>IF(I70="","",IF(O70&lt;0,"Vencida",IF(O70&lt;=3,"Por vencer","Activa")))</f>
        <v/>
      </c>
      <c r="R70" s="14" t="n"/>
      <c r="S70" s="14">
        <f>IF(OR(E70="",I70=""),"",HYPERLINK(IF(F70&lt;&gt;"","https://wa.me/"&amp;SUBSTITUTE(SUBSTITUTE(SUBSTITUTE(F70,"+",""),"-","")," ","")&amp;"?text="&amp;SUBSTITUTE(SUBSTITUTE("Hola "&amp;E70&amp;", tu cuenta de "&amp;A70&amp;" vence el "&amp;TEXT(I70,"dd/mm/yyyy")&amp;". Deseas renovarla?"," ","%20"),"?","%3F"),"https://api.whatsapp.com/send?text="&amp;SUBSTITUTE(SUBSTITUTE("Hola "&amp;E70&amp;", tu cuenta de "&amp;A70&amp;" vence el "&amp;TEXT(I70,"dd/mm/yyyy")&amp;". Deseas renovarla?"," ","%20"),"?","%3F")),"Enviar recordatorio"))</f>
        <v/>
      </c>
      <c r="T70" s="14" t="n"/>
    </row>
    <row r="71" ht="15" customHeight="1" s="28">
      <c r="A71" s="14" t="n"/>
      <c r="B71" s="14" t="n"/>
      <c r="C71" s="14" t="n"/>
      <c r="D71" s="14" t="n"/>
      <c r="E71" s="14" t="n"/>
      <c r="F71" s="14" t="n"/>
      <c r="G71" s="14" t="n"/>
      <c r="H71" s="15" t="n"/>
      <c r="I71" s="15" t="n"/>
      <c r="J71" s="14" t="n"/>
      <c r="K71" s="16">
        <f>IFERROR(VLOOKUP(A71,Precios!$A$5:$C$14,2,FALSE()),"")</f>
        <v/>
      </c>
      <c r="L71" s="16">
        <f>IFERROR(VLOOKUP(A71,Precios!$A$5:$C$14,3,FALSE()),"")</f>
        <v/>
      </c>
      <c r="M71" s="16">
        <f>IF(AND(K71&lt;&gt;"",L71&lt;&gt;""),L71-K71,"")</f>
        <v/>
      </c>
      <c r="N71" s="14">
        <f>IF(AND(H71&lt;&gt;"",I71&lt;&gt;""),I71-H71,"")</f>
        <v/>
      </c>
      <c r="O71" s="14">
        <f>IF(I71&lt;&gt;"",I71-TODAY(),"")</f>
        <v/>
      </c>
      <c r="P71" s="15">
        <f>IF(I71="","",IF(J71="Anual",I71+365,I71+30))</f>
        <v/>
      </c>
      <c r="Q71" s="14">
        <f>IF(I71="","",IF(O71&lt;0,"Vencida",IF(O71&lt;=3,"Por vencer","Activa")))</f>
        <v/>
      </c>
      <c r="R71" s="14" t="n"/>
      <c r="S71" s="14">
        <f>IF(OR(E71="",I71=""),"",HYPERLINK(IF(F71&lt;&gt;"","https://wa.me/"&amp;SUBSTITUTE(SUBSTITUTE(SUBSTITUTE(F71,"+",""),"-","")," ","")&amp;"?text="&amp;SUBSTITUTE(SUBSTITUTE("Hola "&amp;E71&amp;", tu cuenta de "&amp;A71&amp;" vence el "&amp;TEXT(I71,"dd/mm/yyyy")&amp;". Deseas renovarla?"," ","%20"),"?","%3F"),"https://api.whatsapp.com/send?text="&amp;SUBSTITUTE(SUBSTITUTE("Hola "&amp;E71&amp;", tu cuenta de "&amp;A71&amp;" vence el "&amp;TEXT(I71,"dd/mm/yyyy")&amp;". Deseas renovarla?"," ","%20"),"?","%3F")),"Enviar recordatorio"))</f>
        <v/>
      </c>
      <c r="T71" s="14" t="n"/>
    </row>
    <row r="72" ht="15" customHeight="1" s="28">
      <c r="A72" s="14" t="n"/>
      <c r="B72" s="14" t="n"/>
      <c r="C72" s="14" t="n"/>
      <c r="D72" s="14" t="n"/>
      <c r="E72" s="14" t="n"/>
      <c r="F72" s="14" t="n"/>
      <c r="G72" s="14" t="n"/>
      <c r="H72" s="15" t="n"/>
      <c r="I72" s="15" t="n"/>
      <c r="J72" s="14" t="n"/>
      <c r="K72" s="16">
        <f>IFERROR(VLOOKUP(A72,Precios!$A$5:$C$14,2,FALSE()),"")</f>
        <v/>
      </c>
      <c r="L72" s="16">
        <f>IFERROR(VLOOKUP(A72,Precios!$A$5:$C$14,3,FALSE()),"")</f>
        <v/>
      </c>
      <c r="M72" s="16">
        <f>IF(AND(K72&lt;&gt;"",L72&lt;&gt;""),L72-K72,"")</f>
        <v/>
      </c>
      <c r="N72" s="14">
        <f>IF(AND(H72&lt;&gt;"",I72&lt;&gt;""),I72-H72,"")</f>
        <v/>
      </c>
      <c r="O72" s="14">
        <f>IF(I72&lt;&gt;"",I72-TODAY(),"")</f>
        <v/>
      </c>
      <c r="P72" s="15">
        <f>IF(I72="","",IF(J72="Anual",I72+365,I72+30))</f>
        <v/>
      </c>
      <c r="Q72" s="14">
        <f>IF(I72="","",IF(O72&lt;0,"Vencida",IF(O72&lt;=3,"Por vencer","Activa")))</f>
        <v/>
      </c>
      <c r="R72" s="14" t="n"/>
      <c r="S72" s="14">
        <f>IF(OR(E72="",I72=""),"",HYPERLINK(IF(F72&lt;&gt;"","https://wa.me/"&amp;SUBSTITUTE(SUBSTITUTE(SUBSTITUTE(F72,"+",""),"-","")," ","")&amp;"?text="&amp;SUBSTITUTE(SUBSTITUTE("Hola "&amp;E72&amp;", tu cuenta de "&amp;A72&amp;" vence el "&amp;TEXT(I72,"dd/mm/yyyy")&amp;". Deseas renovarla?"," ","%20"),"?","%3F"),"https://api.whatsapp.com/send?text="&amp;SUBSTITUTE(SUBSTITUTE("Hola "&amp;E72&amp;", tu cuenta de "&amp;A72&amp;" vence el "&amp;TEXT(I72,"dd/mm/yyyy")&amp;". Deseas renovarla?"," ","%20"),"?","%3F")),"Enviar recordatorio"))</f>
        <v/>
      </c>
      <c r="T72" s="14" t="n"/>
    </row>
    <row r="73" ht="15" customHeight="1" s="28">
      <c r="A73" s="14" t="n"/>
      <c r="B73" s="14" t="n"/>
      <c r="C73" s="14" t="n"/>
      <c r="D73" s="14" t="n"/>
      <c r="E73" s="14" t="n"/>
      <c r="F73" s="14" t="n"/>
      <c r="G73" s="14" t="n"/>
      <c r="H73" s="15" t="n"/>
      <c r="I73" s="15" t="n"/>
      <c r="J73" s="14" t="n"/>
      <c r="K73" s="16">
        <f>IFERROR(VLOOKUP(A73,Precios!$A$5:$C$14,2,FALSE()),"")</f>
        <v/>
      </c>
      <c r="L73" s="16">
        <f>IFERROR(VLOOKUP(A73,Precios!$A$5:$C$14,3,FALSE()),"")</f>
        <v/>
      </c>
      <c r="M73" s="16">
        <f>IF(AND(K73&lt;&gt;"",L73&lt;&gt;""),L73-K73,"")</f>
        <v/>
      </c>
      <c r="N73" s="14">
        <f>IF(AND(H73&lt;&gt;"",I73&lt;&gt;""),I73-H73,"")</f>
        <v/>
      </c>
      <c r="O73" s="14">
        <f>IF(I73&lt;&gt;"",I73-TODAY(),"")</f>
        <v/>
      </c>
      <c r="P73" s="15">
        <f>IF(I73="","",IF(J73="Anual",I73+365,I73+30))</f>
        <v/>
      </c>
      <c r="Q73" s="14">
        <f>IF(I73="","",IF(O73&lt;0,"Vencida",IF(O73&lt;=3,"Por vencer","Activa")))</f>
        <v/>
      </c>
      <c r="R73" s="14" t="n"/>
      <c r="S73" s="14">
        <f>IF(OR(E73="",I73=""),"",HYPERLINK(IF(F73&lt;&gt;"","https://wa.me/"&amp;SUBSTITUTE(SUBSTITUTE(SUBSTITUTE(F73,"+",""),"-","")," ","")&amp;"?text="&amp;SUBSTITUTE(SUBSTITUTE("Hola "&amp;E73&amp;", tu cuenta de "&amp;A73&amp;" vence el "&amp;TEXT(I73,"dd/mm/yyyy")&amp;". Deseas renovarla?"," ","%20"),"?","%3F"),"https://api.whatsapp.com/send?text="&amp;SUBSTITUTE(SUBSTITUTE("Hola "&amp;E73&amp;", tu cuenta de "&amp;A73&amp;" vence el "&amp;TEXT(I73,"dd/mm/yyyy")&amp;". Deseas renovarla?"," ","%20"),"?","%3F")),"Enviar recordatorio"))</f>
        <v/>
      </c>
      <c r="T73" s="14" t="n"/>
    </row>
    <row r="74" ht="15" customHeight="1" s="28">
      <c r="A74" s="14" t="n"/>
      <c r="B74" s="14" t="n"/>
      <c r="C74" s="14" t="n"/>
      <c r="D74" s="14" t="n"/>
      <c r="E74" s="14" t="n"/>
      <c r="F74" s="14" t="n"/>
      <c r="G74" s="14" t="n"/>
      <c r="H74" s="15" t="n"/>
      <c r="I74" s="15" t="n"/>
      <c r="J74" s="14" t="n"/>
      <c r="K74" s="16">
        <f>IFERROR(VLOOKUP(A74,Precios!$A$5:$C$14,2,FALSE()),"")</f>
        <v/>
      </c>
      <c r="L74" s="16">
        <f>IFERROR(VLOOKUP(A74,Precios!$A$5:$C$14,3,FALSE()),"")</f>
        <v/>
      </c>
      <c r="M74" s="16">
        <f>IF(AND(K74&lt;&gt;"",L74&lt;&gt;""),L74-K74,"")</f>
        <v/>
      </c>
      <c r="N74" s="14">
        <f>IF(AND(H74&lt;&gt;"",I74&lt;&gt;""),I74-H74,"")</f>
        <v/>
      </c>
      <c r="O74" s="14">
        <f>IF(I74&lt;&gt;"",I74-TODAY(),"")</f>
        <v/>
      </c>
      <c r="P74" s="15">
        <f>IF(I74="","",IF(J74="Anual",I74+365,I74+30))</f>
        <v/>
      </c>
      <c r="Q74" s="14">
        <f>IF(I74="","",IF(O74&lt;0,"Vencida",IF(O74&lt;=3,"Por vencer","Activa")))</f>
        <v/>
      </c>
      <c r="R74" s="14" t="n"/>
      <c r="S74" s="14">
        <f>IF(OR(E74="",I74=""),"",HYPERLINK(IF(F74&lt;&gt;"","https://wa.me/"&amp;SUBSTITUTE(SUBSTITUTE(SUBSTITUTE(F74,"+",""),"-","")," ","")&amp;"?text="&amp;SUBSTITUTE(SUBSTITUTE("Hola "&amp;E74&amp;", tu cuenta de "&amp;A74&amp;" vence el "&amp;TEXT(I74,"dd/mm/yyyy")&amp;". Deseas renovarla?"," ","%20"),"?","%3F"),"https://api.whatsapp.com/send?text="&amp;SUBSTITUTE(SUBSTITUTE("Hola "&amp;E74&amp;", tu cuenta de "&amp;A74&amp;" vence el "&amp;TEXT(I74,"dd/mm/yyyy")&amp;". Deseas renovarla?"," ","%20"),"?","%3F")),"Enviar recordatorio"))</f>
        <v/>
      </c>
      <c r="T74" s="14" t="n"/>
    </row>
    <row r="75" ht="15" customHeight="1" s="28">
      <c r="A75" s="14" t="n"/>
      <c r="B75" s="14" t="n"/>
      <c r="C75" s="14" t="n"/>
      <c r="D75" s="14" t="n"/>
      <c r="E75" s="14" t="n"/>
      <c r="F75" s="14" t="n"/>
      <c r="G75" s="14" t="n"/>
      <c r="H75" s="15" t="n"/>
      <c r="I75" s="15" t="n"/>
      <c r="J75" s="14" t="n"/>
      <c r="K75" s="16">
        <f>IFERROR(VLOOKUP(A75,Precios!$A$5:$C$14,2,FALSE()),"")</f>
        <v/>
      </c>
      <c r="L75" s="16">
        <f>IFERROR(VLOOKUP(A75,Precios!$A$5:$C$14,3,FALSE()),"")</f>
        <v/>
      </c>
      <c r="M75" s="16">
        <f>IF(AND(K75&lt;&gt;"",L75&lt;&gt;""),L75-K75,"")</f>
        <v/>
      </c>
      <c r="N75" s="14">
        <f>IF(AND(H75&lt;&gt;"",I75&lt;&gt;""),I75-H75,"")</f>
        <v/>
      </c>
      <c r="O75" s="14">
        <f>IF(I75&lt;&gt;"",I75-TODAY(),"")</f>
        <v/>
      </c>
      <c r="P75" s="15">
        <f>IF(I75="","",IF(J75="Anual",I75+365,I75+30))</f>
        <v/>
      </c>
      <c r="Q75" s="14">
        <f>IF(I75="","",IF(O75&lt;0,"Vencida",IF(O75&lt;=3,"Por vencer","Activa")))</f>
        <v/>
      </c>
      <c r="R75" s="14" t="n"/>
      <c r="S75" s="14">
        <f>IF(OR(E75="",I75=""),"",HYPERLINK(IF(F75&lt;&gt;"","https://wa.me/"&amp;SUBSTITUTE(SUBSTITUTE(SUBSTITUTE(F75,"+",""),"-","")," ","")&amp;"?text="&amp;SUBSTITUTE(SUBSTITUTE("Hola "&amp;E75&amp;", tu cuenta de "&amp;A75&amp;" vence el "&amp;TEXT(I75,"dd/mm/yyyy")&amp;". Deseas renovarla?"," ","%20"),"?","%3F"),"https://api.whatsapp.com/send?text="&amp;SUBSTITUTE(SUBSTITUTE("Hola "&amp;E75&amp;", tu cuenta de "&amp;A75&amp;" vence el "&amp;TEXT(I75,"dd/mm/yyyy")&amp;". Deseas renovarla?"," ","%20"),"?","%3F")),"Enviar recordatorio"))</f>
        <v/>
      </c>
      <c r="T75" s="14" t="n"/>
    </row>
    <row r="76" ht="15" customHeight="1" s="28">
      <c r="A76" s="14" t="n"/>
      <c r="B76" s="14" t="n"/>
      <c r="C76" s="14" t="n"/>
      <c r="D76" s="14" t="n"/>
      <c r="E76" s="14" t="n"/>
      <c r="F76" s="14" t="n"/>
      <c r="G76" s="14" t="n"/>
      <c r="H76" s="15" t="n"/>
      <c r="I76" s="15" t="n"/>
      <c r="J76" s="14" t="n"/>
      <c r="K76" s="16">
        <f>IFERROR(VLOOKUP(A76,Precios!$A$5:$C$14,2,FALSE()),"")</f>
        <v/>
      </c>
      <c r="L76" s="16">
        <f>IFERROR(VLOOKUP(A76,Precios!$A$5:$C$14,3,FALSE()),"")</f>
        <v/>
      </c>
      <c r="M76" s="16">
        <f>IF(AND(K76&lt;&gt;"",L76&lt;&gt;""),L76-K76,"")</f>
        <v/>
      </c>
      <c r="N76" s="14">
        <f>IF(AND(H76&lt;&gt;"",I76&lt;&gt;""),I76-H76,"")</f>
        <v/>
      </c>
      <c r="O76" s="14">
        <f>IF(I76&lt;&gt;"",I76-TODAY(),"")</f>
        <v/>
      </c>
      <c r="P76" s="15">
        <f>IF(I76="","",IF(J76="Anual",I76+365,I76+30))</f>
        <v/>
      </c>
      <c r="Q76" s="14">
        <f>IF(I76="","",IF(O76&lt;0,"Vencida",IF(O76&lt;=3,"Por vencer","Activa")))</f>
        <v/>
      </c>
      <c r="R76" s="14" t="n"/>
      <c r="S76" s="14">
        <f>IF(OR(E76="",I76=""),"",HYPERLINK(IF(F76&lt;&gt;"","https://wa.me/"&amp;SUBSTITUTE(SUBSTITUTE(SUBSTITUTE(F76,"+",""),"-","")," ","")&amp;"?text="&amp;SUBSTITUTE(SUBSTITUTE("Hola "&amp;E76&amp;", tu cuenta de "&amp;A76&amp;" vence el "&amp;TEXT(I76,"dd/mm/yyyy")&amp;". Deseas renovarla?"," ","%20"),"?","%3F"),"https://api.whatsapp.com/send?text="&amp;SUBSTITUTE(SUBSTITUTE("Hola "&amp;E76&amp;", tu cuenta de "&amp;A76&amp;" vence el "&amp;TEXT(I76,"dd/mm/yyyy")&amp;". Deseas renovarla?"," ","%20"),"?","%3F")),"Enviar recordatorio"))</f>
        <v/>
      </c>
      <c r="T76" s="14" t="n"/>
    </row>
    <row r="77" ht="15" customHeight="1" s="28">
      <c r="A77" s="14" t="n"/>
      <c r="B77" s="14" t="n"/>
      <c r="C77" s="14" t="n"/>
      <c r="D77" s="14" t="n"/>
      <c r="E77" s="14" t="n"/>
      <c r="F77" s="14" t="n"/>
      <c r="G77" s="14" t="n"/>
      <c r="H77" s="15" t="n"/>
      <c r="I77" s="15" t="n"/>
      <c r="J77" s="14" t="n"/>
      <c r="K77" s="16">
        <f>IFERROR(VLOOKUP(A77,Precios!$A$5:$C$14,2,FALSE()),"")</f>
        <v/>
      </c>
      <c r="L77" s="16">
        <f>IFERROR(VLOOKUP(A77,Precios!$A$5:$C$14,3,FALSE()),"")</f>
        <v/>
      </c>
      <c r="M77" s="16">
        <f>IF(AND(K77&lt;&gt;"",L77&lt;&gt;""),L77-K77,"")</f>
        <v/>
      </c>
      <c r="N77" s="14">
        <f>IF(AND(H77&lt;&gt;"",I77&lt;&gt;""),I77-H77,"")</f>
        <v/>
      </c>
      <c r="O77" s="14">
        <f>IF(I77&lt;&gt;"",I77-TODAY(),"")</f>
        <v/>
      </c>
      <c r="P77" s="15">
        <f>IF(I77="","",IF(J77="Anual",I77+365,I77+30))</f>
        <v/>
      </c>
      <c r="Q77" s="14">
        <f>IF(I77="","",IF(O77&lt;0,"Vencida",IF(O77&lt;=3,"Por vencer","Activa")))</f>
        <v/>
      </c>
      <c r="R77" s="14" t="n"/>
      <c r="S77" s="14">
        <f>IF(OR(E77="",I77=""),"",HYPERLINK(IF(F77&lt;&gt;"","https://wa.me/"&amp;SUBSTITUTE(SUBSTITUTE(SUBSTITUTE(F77,"+",""),"-","")," ","")&amp;"?text="&amp;SUBSTITUTE(SUBSTITUTE("Hola "&amp;E77&amp;", tu cuenta de "&amp;A77&amp;" vence el "&amp;TEXT(I77,"dd/mm/yyyy")&amp;". Deseas renovarla?"," ","%20"),"?","%3F"),"https://api.whatsapp.com/send?text="&amp;SUBSTITUTE(SUBSTITUTE("Hola "&amp;E77&amp;", tu cuenta de "&amp;A77&amp;" vence el "&amp;TEXT(I77,"dd/mm/yyyy")&amp;". Deseas renovarla?"," ","%20"),"?","%3F")),"Enviar recordatorio"))</f>
        <v/>
      </c>
      <c r="T77" s="14" t="n"/>
    </row>
    <row r="78" ht="15" customHeight="1" s="28">
      <c r="A78" s="14" t="n"/>
      <c r="B78" s="14" t="n"/>
      <c r="C78" s="14" t="n"/>
      <c r="D78" s="14" t="n"/>
      <c r="E78" s="14" t="n"/>
      <c r="F78" s="14" t="n"/>
      <c r="G78" s="14" t="n"/>
      <c r="H78" s="15" t="n"/>
      <c r="I78" s="15" t="n"/>
      <c r="J78" s="14" t="n"/>
      <c r="K78" s="16">
        <f>IFERROR(VLOOKUP(A78,Precios!$A$5:$C$14,2,FALSE()),"")</f>
        <v/>
      </c>
      <c r="L78" s="16">
        <f>IFERROR(VLOOKUP(A78,Precios!$A$5:$C$14,3,FALSE()),"")</f>
        <v/>
      </c>
      <c r="M78" s="16">
        <f>IF(AND(K78&lt;&gt;"",L78&lt;&gt;""),L78-K78,"")</f>
        <v/>
      </c>
      <c r="N78" s="14">
        <f>IF(AND(H78&lt;&gt;"",I78&lt;&gt;""),I78-H78,"")</f>
        <v/>
      </c>
      <c r="O78" s="14">
        <f>IF(I78&lt;&gt;"",I78-TODAY(),"")</f>
        <v/>
      </c>
      <c r="P78" s="15">
        <f>IF(I78="","",IF(J78="Anual",I78+365,I78+30))</f>
        <v/>
      </c>
      <c r="Q78" s="14">
        <f>IF(I78="","",IF(O78&lt;0,"Vencida",IF(O78&lt;=3,"Por vencer","Activa")))</f>
        <v/>
      </c>
      <c r="R78" s="14" t="n"/>
      <c r="S78" s="14">
        <f>IF(OR(E78="",I78=""),"",HYPERLINK(IF(F78&lt;&gt;"","https://wa.me/"&amp;SUBSTITUTE(SUBSTITUTE(SUBSTITUTE(F78,"+",""),"-","")," ","")&amp;"?text="&amp;SUBSTITUTE(SUBSTITUTE("Hola "&amp;E78&amp;", tu cuenta de "&amp;A78&amp;" vence el "&amp;TEXT(I78,"dd/mm/yyyy")&amp;". Deseas renovarla?"," ","%20"),"?","%3F"),"https://api.whatsapp.com/send?text="&amp;SUBSTITUTE(SUBSTITUTE("Hola "&amp;E78&amp;", tu cuenta de "&amp;A78&amp;" vence el "&amp;TEXT(I78,"dd/mm/yyyy")&amp;". Deseas renovarla?"," ","%20"),"?","%3F")),"Enviar recordatorio"))</f>
        <v/>
      </c>
      <c r="T78" s="14" t="n"/>
    </row>
    <row r="79" ht="15" customHeight="1" s="28">
      <c r="A79" s="14" t="n"/>
      <c r="B79" s="14" t="n"/>
      <c r="C79" s="14" t="n"/>
      <c r="D79" s="14" t="n"/>
      <c r="E79" s="14" t="n"/>
      <c r="F79" s="14" t="n"/>
      <c r="G79" s="14" t="n"/>
      <c r="H79" s="15" t="n"/>
      <c r="I79" s="15" t="n"/>
      <c r="J79" s="14" t="n"/>
      <c r="K79" s="16">
        <f>IFERROR(VLOOKUP(A79,Precios!$A$5:$C$14,2,FALSE()),"")</f>
        <v/>
      </c>
      <c r="L79" s="16">
        <f>IFERROR(VLOOKUP(A79,Precios!$A$5:$C$14,3,FALSE()),"")</f>
        <v/>
      </c>
      <c r="M79" s="16">
        <f>IF(AND(K79&lt;&gt;"",L79&lt;&gt;""),L79-K79,"")</f>
        <v/>
      </c>
      <c r="N79" s="14">
        <f>IF(AND(H79&lt;&gt;"",I79&lt;&gt;""),I79-H79,"")</f>
        <v/>
      </c>
      <c r="O79" s="14">
        <f>IF(I79&lt;&gt;"",I79-TODAY(),"")</f>
        <v/>
      </c>
      <c r="P79" s="15">
        <f>IF(I79="","",IF(J79="Anual",I79+365,I79+30))</f>
        <v/>
      </c>
      <c r="Q79" s="14">
        <f>IF(I79="","",IF(O79&lt;0,"Vencida",IF(O79&lt;=3,"Por vencer","Activa")))</f>
        <v/>
      </c>
      <c r="R79" s="14" t="n"/>
      <c r="S79" s="14">
        <f>IF(OR(E79="",I79=""),"",HYPERLINK(IF(F79&lt;&gt;"","https://wa.me/"&amp;SUBSTITUTE(SUBSTITUTE(SUBSTITUTE(F79,"+",""),"-","")," ","")&amp;"?text="&amp;SUBSTITUTE(SUBSTITUTE("Hola "&amp;E79&amp;", tu cuenta de "&amp;A79&amp;" vence el "&amp;TEXT(I79,"dd/mm/yyyy")&amp;". Deseas renovarla?"," ","%20"),"?","%3F"),"https://api.whatsapp.com/send?text="&amp;SUBSTITUTE(SUBSTITUTE("Hola "&amp;E79&amp;", tu cuenta de "&amp;A79&amp;" vence el "&amp;TEXT(I79,"dd/mm/yyyy")&amp;". Deseas renovarla?"," ","%20"),"?","%3F")),"Enviar recordatorio"))</f>
        <v/>
      </c>
      <c r="T79" s="14" t="n"/>
    </row>
    <row r="80" ht="15" customHeight="1" s="28">
      <c r="A80" s="14" t="n"/>
      <c r="B80" s="14" t="n"/>
      <c r="C80" s="14" t="n"/>
      <c r="D80" s="14" t="n"/>
      <c r="E80" s="14" t="n"/>
      <c r="F80" s="14" t="n"/>
      <c r="G80" s="14" t="n"/>
      <c r="H80" s="15" t="n"/>
      <c r="I80" s="15" t="n"/>
      <c r="J80" s="14" t="n"/>
      <c r="K80" s="16">
        <f>IFERROR(VLOOKUP(A80,Precios!$A$5:$C$14,2,FALSE()),"")</f>
        <v/>
      </c>
      <c r="L80" s="16">
        <f>IFERROR(VLOOKUP(A80,Precios!$A$5:$C$14,3,FALSE()),"")</f>
        <v/>
      </c>
      <c r="M80" s="16">
        <f>IF(AND(K80&lt;&gt;"",L80&lt;&gt;""),L80-K80,"")</f>
        <v/>
      </c>
      <c r="N80" s="14">
        <f>IF(AND(H80&lt;&gt;"",I80&lt;&gt;""),I80-H80,"")</f>
        <v/>
      </c>
      <c r="O80" s="14">
        <f>IF(I80&lt;&gt;"",I80-TODAY(),"")</f>
        <v/>
      </c>
      <c r="P80" s="15">
        <f>IF(I80="","",IF(J80="Anual",I80+365,I80+30))</f>
        <v/>
      </c>
      <c r="Q80" s="14">
        <f>IF(I80="","",IF(O80&lt;0,"Vencida",IF(O80&lt;=3,"Por vencer","Activa")))</f>
        <v/>
      </c>
      <c r="R80" s="14" t="n"/>
      <c r="S80" s="14">
        <f>IF(OR(E80="",I80=""),"",HYPERLINK(IF(F80&lt;&gt;"","https://wa.me/"&amp;SUBSTITUTE(SUBSTITUTE(SUBSTITUTE(F80,"+",""),"-","")," ","")&amp;"?text="&amp;SUBSTITUTE(SUBSTITUTE("Hola "&amp;E80&amp;", tu cuenta de "&amp;A80&amp;" vence el "&amp;TEXT(I80,"dd/mm/yyyy")&amp;". Deseas renovarla?"," ","%20"),"?","%3F"),"https://api.whatsapp.com/send?text="&amp;SUBSTITUTE(SUBSTITUTE("Hola "&amp;E80&amp;", tu cuenta de "&amp;A80&amp;" vence el "&amp;TEXT(I80,"dd/mm/yyyy")&amp;". Deseas renovarla?"," ","%20"),"?","%3F")),"Enviar recordatorio"))</f>
        <v/>
      </c>
      <c r="T80" s="14" t="n"/>
    </row>
    <row r="81" ht="15" customHeight="1" s="28">
      <c r="A81" s="14" t="n"/>
      <c r="B81" s="14" t="n"/>
      <c r="C81" s="14" t="n"/>
      <c r="D81" s="14" t="n"/>
      <c r="E81" s="14" t="n"/>
      <c r="F81" s="14" t="n"/>
      <c r="G81" s="14" t="n"/>
      <c r="H81" s="15" t="n"/>
      <c r="I81" s="15" t="n"/>
      <c r="J81" s="14" t="n"/>
      <c r="K81" s="16">
        <f>IFERROR(VLOOKUP(A81,Precios!$A$5:$C$14,2,FALSE()),"")</f>
        <v/>
      </c>
      <c r="L81" s="16">
        <f>IFERROR(VLOOKUP(A81,Precios!$A$5:$C$14,3,FALSE()),"")</f>
        <v/>
      </c>
      <c r="M81" s="16">
        <f>IF(AND(K81&lt;&gt;"",L81&lt;&gt;""),L81-K81,"")</f>
        <v/>
      </c>
      <c r="N81" s="14">
        <f>IF(AND(H81&lt;&gt;"",I81&lt;&gt;""),I81-H81,"")</f>
        <v/>
      </c>
      <c r="O81" s="14">
        <f>IF(I81&lt;&gt;"",I81-TODAY(),"")</f>
        <v/>
      </c>
      <c r="P81" s="15">
        <f>IF(I81="","",IF(J81="Anual",I81+365,I81+30))</f>
        <v/>
      </c>
      <c r="Q81" s="14">
        <f>IF(I81="","",IF(O81&lt;0,"Vencida",IF(O81&lt;=3,"Por vencer","Activa")))</f>
        <v/>
      </c>
      <c r="R81" s="14" t="n"/>
      <c r="S81" s="14">
        <f>IF(OR(E81="",I81=""),"",HYPERLINK(IF(F81&lt;&gt;"","https://wa.me/"&amp;SUBSTITUTE(SUBSTITUTE(SUBSTITUTE(F81,"+",""),"-","")," ","")&amp;"?text="&amp;SUBSTITUTE(SUBSTITUTE("Hola "&amp;E81&amp;", tu cuenta de "&amp;A81&amp;" vence el "&amp;TEXT(I81,"dd/mm/yyyy")&amp;". Deseas renovarla?"," ","%20"),"?","%3F"),"https://api.whatsapp.com/send?text="&amp;SUBSTITUTE(SUBSTITUTE("Hola "&amp;E81&amp;", tu cuenta de "&amp;A81&amp;" vence el "&amp;TEXT(I81,"dd/mm/yyyy")&amp;". Deseas renovarla?"," ","%20"),"?","%3F")),"Enviar recordatorio"))</f>
        <v/>
      </c>
      <c r="T81" s="14" t="n"/>
    </row>
    <row r="82" ht="15" customHeight="1" s="28">
      <c r="A82" s="14" t="n"/>
      <c r="B82" s="14" t="n"/>
      <c r="C82" s="14" t="n"/>
      <c r="D82" s="14" t="n"/>
      <c r="E82" s="14" t="n"/>
      <c r="F82" s="14" t="n"/>
      <c r="G82" s="14" t="n"/>
      <c r="H82" s="15" t="n"/>
      <c r="I82" s="15" t="n"/>
      <c r="J82" s="14" t="n"/>
      <c r="K82" s="16">
        <f>IFERROR(VLOOKUP(A82,Precios!$A$5:$C$14,2,FALSE()),"")</f>
        <v/>
      </c>
      <c r="L82" s="16">
        <f>IFERROR(VLOOKUP(A82,Precios!$A$5:$C$14,3,FALSE()),"")</f>
        <v/>
      </c>
      <c r="M82" s="16">
        <f>IF(AND(K82&lt;&gt;"",L82&lt;&gt;""),L82-K82,"")</f>
        <v/>
      </c>
      <c r="N82" s="14">
        <f>IF(AND(H82&lt;&gt;"",I82&lt;&gt;""),I82-H82,"")</f>
        <v/>
      </c>
      <c r="O82" s="14">
        <f>IF(I82&lt;&gt;"",I82-TODAY(),"")</f>
        <v/>
      </c>
      <c r="P82" s="15">
        <f>IF(I82="","",IF(J82="Anual",I82+365,I82+30))</f>
        <v/>
      </c>
      <c r="Q82" s="14">
        <f>IF(I82="","",IF(O82&lt;0,"Vencida",IF(O82&lt;=3,"Por vencer","Activa")))</f>
        <v/>
      </c>
      <c r="R82" s="14" t="n"/>
      <c r="S82" s="14">
        <f>IF(OR(E82="",I82=""),"",HYPERLINK(IF(F82&lt;&gt;"","https://wa.me/"&amp;SUBSTITUTE(SUBSTITUTE(SUBSTITUTE(F82,"+",""),"-","")," ","")&amp;"?text="&amp;SUBSTITUTE(SUBSTITUTE("Hola "&amp;E82&amp;", tu cuenta de "&amp;A82&amp;" vence el "&amp;TEXT(I82,"dd/mm/yyyy")&amp;". Deseas renovarla?"," ","%20"),"?","%3F"),"https://api.whatsapp.com/send?text="&amp;SUBSTITUTE(SUBSTITUTE("Hola "&amp;E82&amp;", tu cuenta de "&amp;A82&amp;" vence el "&amp;TEXT(I82,"dd/mm/yyyy")&amp;". Deseas renovarla?"," ","%20"),"?","%3F")),"Enviar recordatorio"))</f>
        <v/>
      </c>
      <c r="T82" s="14" t="n"/>
    </row>
    <row r="83" ht="15" customHeight="1" s="28">
      <c r="A83" s="14" t="n"/>
      <c r="B83" s="14" t="n"/>
      <c r="C83" s="14" t="n"/>
      <c r="D83" s="14" t="n"/>
      <c r="E83" s="14" t="n"/>
      <c r="F83" s="14" t="n"/>
      <c r="G83" s="14" t="n"/>
      <c r="H83" s="15" t="n"/>
      <c r="I83" s="15" t="n"/>
      <c r="J83" s="14" t="n"/>
      <c r="K83" s="16">
        <f>IFERROR(VLOOKUP(A83,Precios!$A$5:$C$14,2,FALSE()),"")</f>
        <v/>
      </c>
      <c r="L83" s="16">
        <f>IFERROR(VLOOKUP(A83,Precios!$A$5:$C$14,3,FALSE()),"")</f>
        <v/>
      </c>
      <c r="M83" s="16">
        <f>IF(AND(K83&lt;&gt;"",L83&lt;&gt;""),L83-K83,"")</f>
        <v/>
      </c>
      <c r="N83" s="14">
        <f>IF(AND(H83&lt;&gt;"",I83&lt;&gt;""),I83-H83,"")</f>
        <v/>
      </c>
      <c r="O83" s="14">
        <f>IF(I83&lt;&gt;"",I83-TODAY(),"")</f>
        <v/>
      </c>
      <c r="P83" s="15">
        <f>IF(I83="","",IF(J83="Anual",I83+365,I83+30))</f>
        <v/>
      </c>
      <c r="Q83" s="14">
        <f>IF(I83="","",IF(O83&lt;0,"Vencida",IF(O83&lt;=3,"Por vencer","Activa")))</f>
        <v/>
      </c>
      <c r="R83" s="14" t="n"/>
      <c r="S83" s="14">
        <f>IF(OR(E83="",I83=""),"",HYPERLINK(IF(F83&lt;&gt;"","https://wa.me/"&amp;SUBSTITUTE(SUBSTITUTE(SUBSTITUTE(F83,"+",""),"-","")," ","")&amp;"?text="&amp;SUBSTITUTE(SUBSTITUTE("Hola "&amp;E83&amp;", tu cuenta de "&amp;A83&amp;" vence el "&amp;TEXT(I83,"dd/mm/yyyy")&amp;". Deseas renovarla?"," ","%20"),"?","%3F"),"https://api.whatsapp.com/send?text="&amp;SUBSTITUTE(SUBSTITUTE("Hola "&amp;E83&amp;", tu cuenta de "&amp;A83&amp;" vence el "&amp;TEXT(I83,"dd/mm/yyyy")&amp;". Deseas renovarla?"," ","%20"),"?","%3F")),"Enviar recordatorio"))</f>
        <v/>
      </c>
      <c r="T83" s="14" t="n"/>
    </row>
    <row r="84" ht="15" customHeight="1" s="28">
      <c r="A84" s="14" t="n"/>
      <c r="B84" s="14" t="n"/>
      <c r="C84" s="14" t="n"/>
      <c r="D84" s="14" t="n"/>
      <c r="E84" s="14" t="n"/>
      <c r="F84" s="14" t="n"/>
      <c r="G84" s="14" t="n"/>
      <c r="H84" s="15" t="n"/>
      <c r="I84" s="15" t="n"/>
      <c r="J84" s="14" t="n"/>
      <c r="K84" s="16">
        <f>IFERROR(VLOOKUP(A84,Precios!$A$5:$C$14,2,FALSE()),"")</f>
        <v/>
      </c>
      <c r="L84" s="16">
        <f>IFERROR(VLOOKUP(A84,Precios!$A$5:$C$14,3,FALSE()),"")</f>
        <v/>
      </c>
      <c r="M84" s="16">
        <f>IF(AND(K84&lt;&gt;"",L84&lt;&gt;""),L84-K84,"")</f>
        <v/>
      </c>
      <c r="N84" s="14">
        <f>IF(AND(H84&lt;&gt;"",I84&lt;&gt;""),I84-H84,"")</f>
        <v/>
      </c>
      <c r="O84" s="14">
        <f>IF(I84&lt;&gt;"",I84-TODAY(),"")</f>
        <v/>
      </c>
      <c r="P84" s="15">
        <f>IF(I84="","",IF(J84="Anual",I84+365,I84+30))</f>
        <v/>
      </c>
      <c r="Q84" s="14">
        <f>IF(I84="","",IF(O84&lt;0,"Vencida",IF(O84&lt;=3,"Por vencer","Activa")))</f>
        <v/>
      </c>
      <c r="R84" s="14" t="n"/>
      <c r="S84" s="14">
        <f>IF(OR(E84="",I84=""),"",HYPERLINK(IF(F84&lt;&gt;"","https://wa.me/"&amp;SUBSTITUTE(SUBSTITUTE(SUBSTITUTE(F84,"+",""),"-","")," ","")&amp;"?text="&amp;SUBSTITUTE(SUBSTITUTE("Hola "&amp;E84&amp;", tu cuenta de "&amp;A84&amp;" vence el "&amp;TEXT(I84,"dd/mm/yyyy")&amp;". Deseas renovarla?"," ","%20"),"?","%3F"),"https://api.whatsapp.com/send?text="&amp;SUBSTITUTE(SUBSTITUTE("Hola "&amp;E84&amp;", tu cuenta de "&amp;A84&amp;" vence el "&amp;TEXT(I84,"dd/mm/yyyy")&amp;". Deseas renovarla?"," ","%20"),"?","%3F")),"Enviar recordatorio"))</f>
        <v/>
      </c>
      <c r="T84" s="14" t="n"/>
    </row>
    <row r="85" ht="15" customHeight="1" s="28">
      <c r="A85" s="14" t="n"/>
      <c r="B85" s="14" t="n"/>
      <c r="C85" s="14" t="n"/>
      <c r="D85" s="14" t="n"/>
      <c r="E85" s="14" t="n"/>
      <c r="F85" s="14" t="n"/>
      <c r="G85" s="14" t="n"/>
      <c r="H85" s="15" t="n"/>
      <c r="I85" s="15" t="n"/>
      <c r="J85" s="14" t="n"/>
      <c r="K85" s="16">
        <f>IFERROR(VLOOKUP(A85,Precios!$A$5:$C$14,2,FALSE()),"")</f>
        <v/>
      </c>
      <c r="L85" s="16">
        <f>IFERROR(VLOOKUP(A85,Precios!$A$5:$C$14,3,FALSE()),"")</f>
        <v/>
      </c>
      <c r="M85" s="16">
        <f>IF(AND(K85&lt;&gt;"",L85&lt;&gt;""),L85-K85,"")</f>
        <v/>
      </c>
      <c r="N85" s="14">
        <f>IF(AND(H85&lt;&gt;"",I85&lt;&gt;""),I85-H85,"")</f>
        <v/>
      </c>
      <c r="O85" s="14">
        <f>IF(I85&lt;&gt;"",I85-TODAY(),"")</f>
        <v/>
      </c>
      <c r="P85" s="15">
        <f>IF(I85="","",IF(J85="Anual",I85+365,I85+30))</f>
        <v/>
      </c>
      <c r="Q85" s="14">
        <f>IF(I85="","",IF(O85&lt;0,"Vencida",IF(O85&lt;=3,"Por vencer","Activa")))</f>
        <v/>
      </c>
      <c r="R85" s="14" t="n"/>
      <c r="S85" s="14">
        <f>IF(OR(E85="",I85=""),"",HYPERLINK(IF(F85&lt;&gt;"","https://wa.me/"&amp;SUBSTITUTE(SUBSTITUTE(SUBSTITUTE(F85,"+",""),"-","")," ","")&amp;"?text="&amp;SUBSTITUTE(SUBSTITUTE("Hola "&amp;E85&amp;", tu cuenta de "&amp;A85&amp;" vence el "&amp;TEXT(I85,"dd/mm/yyyy")&amp;". Deseas renovarla?"," ","%20"),"?","%3F"),"https://api.whatsapp.com/send?text="&amp;SUBSTITUTE(SUBSTITUTE("Hola "&amp;E85&amp;", tu cuenta de "&amp;A85&amp;" vence el "&amp;TEXT(I85,"dd/mm/yyyy")&amp;". Deseas renovarla?"," ","%20"),"?","%3F")),"Enviar recordatorio"))</f>
        <v/>
      </c>
      <c r="T85" s="14" t="n"/>
    </row>
    <row r="86" ht="15" customHeight="1" s="28">
      <c r="A86" s="14" t="n"/>
      <c r="B86" s="14" t="n"/>
      <c r="C86" s="14" t="n"/>
      <c r="D86" s="14" t="n"/>
      <c r="E86" s="14" t="n"/>
      <c r="F86" s="14" t="n"/>
      <c r="G86" s="14" t="n"/>
      <c r="H86" s="15" t="n"/>
      <c r="I86" s="15" t="n"/>
      <c r="J86" s="14" t="n"/>
      <c r="K86" s="16">
        <f>IFERROR(VLOOKUP(A86,Precios!$A$5:$C$14,2,FALSE()),"")</f>
        <v/>
      </c>
      <c r="L86" s="16">
        <f>IFERROR(VLOOKUP(A86,Precios!$A$5:$C$14,3,FALSE()),"")</f>
        <v/>
      </c>
      <c r="M86" s="16">
        <f>IF(AND(K86&lt;&gt;"",L86&lt;&gt;""),L86-K86,"")</f>
        <v/>
      </c>
      <c r="N86" s="14">
        <f>IF(AND(H86&lt;&gt;"",I86&lt;&gt;""),I86-H86,"")</f>
        <v/>
      </c>
      <c r="O86" s="14">
        <f>IF(I86&lt;&gt;"",I86-TODAY(),"")</f>
        <v/>
      </c>
      <c r="P86" s="15">
        <f>IF(I86="","",IF(J86="Anual",I86+365,I86+30))</f>
        <v/>
      </c>
      <c r="Q86" s="14">
        <f>IF(I86="","",IF(O86&lt;0,"Vencida",IF(O86&lt;=3,"Por vencer","Activa")))</f>
        <v/>
      </c>
      <c r="R86" s="14" t="n"/>
      <c r="S86" s="14">
        <f>IF(OR(E86="",I86=""),"",HYPERLINK(IF(F86&lt;&gt;"","https://wa.me/"&amp;SUBSTITUTE(SUBSTITUTE(SUBSTITUTE(F86,"+",""),"-","")," ","")&amp;"?text="&amp;SUBSTITUTE(SUBSTITUTE("Hola "&amp;E86&amp;", tu cuenta de "&amp;A86&amp;" vence el "&amp;TEXT(I86,"dd/mm/yyyy")&amp;". Deseas renovarla?"," ","%20"),"?","%3F"),"https://api.whatsapp.com/send?text="&amp;SUBSTITUTE(SUBSTITUTE("Hola "&amp;E86&amp;", tu cuenta de "&amp;A86&amp;" vence el "&amp;TEXT(I86,"dd/mm/yyyy")&amp;". Deseas renovarla?"," ","%20"),"?","%3F")),"Enviar recordatorio"))</f>
        <v/>
      </c>
      <c r="T86" s="14" t="n"/>
    </row>
    <row r="87" ht="15" customHeight="1" s="28">
      <c r="A87" s="14" t="n"/>
      <c r="B87" s="14" t="n"/>
      <c r="C87" s="14" t="n"/>
      <c r="D87" s="14" t="n"/>
      <c r="E87" s="14" t="n"/>
      <c r="F87" s="14" t="n"/>
      <c r="G87" s="14" t="n"/>
      <c r="H87" s="15" t="n"/>
      <c r="I87" s="15" t="n"/>
      <c r="J87" s="14" t="n"/>
      <c r="K87" s="16">
        <f>IFERROR(VLOOKUP(A87,Precios!$A$5:$C$14,2,FALSE()),"")</f>
        <v/>
      </c>
      <c r="L87" s="16">
        <f>IFERROR(VLOOKUP(A87,Precios!$A$5:$C$14,3,FALSE()),"")</f>
        <v/>
      </c>
      <c r="M87" s="16">
        <f>IF(AND(K87&lt;&gt;"",L87&lt;&gt;""),L87-K87,"")</f>
        <v/>
      </c>
      <c r="N87" s="14">
        <f>IF(AND(H87&lt;&gt;"",I87&lt;&gt;""),I87-H87,"")</f>
        <v/>
      </c>
      <c r="O87" s="14">
        <f>IF(I87&lt;&gt;"",I87-TODAY(),"")</f>
        <v/>
      </c>
      <c r="P87" s="15">
        <f>IF(I87="","",IF(J87="Anual",I87+365,I87+30))</f>
        <v/>
      </c>
      <c r="Q87" s="14">
        <f>IF(I87="","",IF(O87&lt;0,"Vencida",IF(O87&lt;=3,"Por vencer","Activa")))</f>
        <v/>
      </c>
      <c r="R87" s="14" t="n"/>
      <c r="S87" s="14">
        <f>IF(OR(E87="",I87=""),"",HYPERLINK(IF(F87&lt;&gt;"","https://wa.me/"&amp;SUBSTITUTE(SUBSTITUTE(SUBSTITUTE(F87,"+",""),"-","")," ","")&amp;"?text="&amp;SUBSTITUTE(SUBSTITUTE("Hola "&amp;E87&amp;", tu cuenta de "&amp;A87&amp;" vence el "&amp;TEXT(I87,"dd/mm/yyyy")&amp;". Deseas renovarla?"," ","%20"),"?","%3F"),"https://api.whatsapp.com/send?text="&amp;SUBSTITUTE(SUBSTITUTE("Hola "&amp;E87&amp;", tu cuenta de "&amp;A87&amp;" vence el "&amp;TEXT(I87,"dd/mm/yyyy")&amp;". Deseas renovarla?"," ","%20"),"?","%3F")),"Enviar recordatorio"))</f>
        <v/>
      </c>
      <c r="T87" s="14" t="n"/>
    </row>
    <row r="88" ht="15" customHeight="1" s="28">
      <c r="A88" s="14" t="n"/>
      <c r="B88" s="14" t="n"/>
      <c r="C88" s="14" t="n"/>
      <c r="D88" s="14" t="n"/>
      <c r="E88" s="14" t="n"/>
      <c r="F88" s="14" t="n"/>
      <c r="G88" s="14" t="n"/>
      <c r="H88" s="15" t="n"/>
      <c r="I88" s="15" t="n"/>
      <c r="J88" s="14" t="n"/>
      <c r="K88" s="16">
        <f>IFERROR(VLOOKUP(A88,Precios!$A$5:$C$14,2,FALSE()),"")</f>
        <v/>
      </c>
      <c r="L88" s="16">
        <f>IFERROR(VLOOKUP(A88,Precios!$A$5:$C$14,3,FALSE()),"")</f>
        <v/>
      </c>
      <c r="M88" s="16">
        <f>IF(AND(K88&lt;&gt;"",L88&lt;&gt;""),L88-K88,"")</f>
        <v/>
      </c>
      <c r="N88" s="14">
        <f>IF(AND(H88&lt;&gt;"",I88&lt;&gt;""),I88-H88,"")</f>
        <v/>
      </c>
      <c r="O88" s="14">
        <f>IF(I88&lt;&gt;"",I88-TODAY(),"")</f>
        <v/>
      </c>
      <c r="P88" s="15">
        <f>IF(I88="","",IF(J88="Anual",I88+365,I88+30))</f>
        <v/>
      </c>
      <c r="Q88" s="14">
        <f>IF(I88="","",IF(O88&lt;0,"Vencida",IF(O88&lt;=3,"Por vencer","Activa")))</f>
        <v/>
      </c>
      <c r="R88" s="14" t="n"/>
      <c r="S88" s="14">
        <f>IF(OR(E88="",I88=""),"",HYPERLINK(IF(F88&lt;&gt;"","https://wa.me/"&amp;SUBSTITUTE(SUBSTITUTE(SUBSTITUTE(F88,"+",""),"-","")," ","")&amp;"?text="&amp;SUBSTITUTE(SUBSTITUTE("Hola "&amp;E88&amp;", tu cuenta de "&amp;A88&amp;" vence el "&amp;TEXT(I88,"dd/mm/yyyy")&amp;". Deseas renovarla?"," ","%20"),"?","%3F"),"https://api.whatsapp.com/send?text="&amp;SUBSTITUTE(SUBSTITUTE("Hola "&amp;E88&amp;", tu cuenta de "&amp;A88&amp;" vence el "&amp;TEXT(I88,"dd/mm/yyyy")&amp;". Deseas renovarla?"," ","%20"),"?","%3F")),"Enviar recordatorio"))</f>
        <v/>
      </c>
      <c r="T88" s="14" t="n"/>
    </row>
    <row r="89" ht="15" customHeight="1" s="28">
      <c r="A89" s="14" t="n"/>
      <c r="B89" s="14" t="n"/>
      <c r="C89" s="14" t="n"/>
      <c r="D89" s="14" t="n"/>
      <c r="E89" s="14" t="n"/>
      <c r="F89" s="14" t="n"/>
      <c r="G89" s="14" t="n"/>
      <c r="H89" s="15" t="n"/>
      <c r="I89" s="15" t="n"/>
      <c r="J89" s="14" t="n"/>
      <c r="K89" s="16">
        <f>IFERROR(VLOOKUP(A89,Precios!$A$5:$C$14,2,FALSE()),"")</f>
        <v/>
      </c>
      <c r="L89" s="16">
        <f>IFERROR(VLOOKUP(A89,Precios!$A$5:$C$14,3,FALSE()),"")</f>
        <v/>
      </c>
      <c r="M89" s="16">
        <f>IF(AND(K89&lt;&gt;"",L89&lt;&gt;""),L89-K89,"")</f>
        <v/>
      </c>
      <c r="N89" s="14">
        <f>IF(AND(H89&lt;&gt;"",I89&lt;&gt;""),I89-H89,"")</f>
        <v/>
      </c>
      <c r="O89" s="14">
        <f>IF(I89&lt;&gt;"",I89-TODAY(),"")</f>
        <v/>
      </c>
      <c r="P89" s="15">
        <f>IF(I89="","",IF(J89="Anual",I89+365,I89+30))</f>
        <v/>
      </c>
      <c r="Q89" s="14">
        <f>IF(I89="","",IF(O89&lt;0,"Vencida",IF(O89&lt;=3,"Por vencer","Activa")))</f>
        <v/>
      </c>
      <c r="R89" s="14" t="n"/>
      <c r="S89" s="14">
        <f>IF(OR(E89="",I89=""),"",HYPERLINK(IF(F89&lt;&gt;"","https://wa.me/"&amp;SUBSTITUTE(SUBSTITUTE(SUBSTITUTE(F89,"+",""),"-","")," ","")&amp;"?text="&amp;SUBSTITUTE(SUBSTITUTE("Hola "&amp;E89&amp;", tu cuenta de "&amp;A89&amp;" vence el "&amp;TEXT(I89,"dd/mm/yyyy")&amp;". Deseas renovarla?"," ","%20"),"?","%3F"),"https://api.whatsapp.com/send?text="&amp;SUBSTITUTE(SUBSTITUTE("Hola "&amp;E89&amp;", tu cuenta de "&amp;A89&amp;" vence el "&amp;TEXT(I89,"dd/mm/yyyy")&amp;". Deseas renovarla?"," ","%20"),"?","%3F")),"Enviar recordatorio"))</f>
        <v/>
      </c>
      <c r="T89" s="14" t="n"/>
    </row>
    <row r="90" ht="15" customHeight="1" s="28">
      <c r="A90" s="14" t="n"/>
      <c r="B90" s="14" t="n"/>
      <c r="C90" s="14" t="n"/>
      <c r="D90" s="14" t="n"/>
      <c r="E90" s="14" t="n"/>
      <c r="F90" s="14" t="n"/>
      <c r="G90" s="14" t="n"/>
      <c r="H90" s="15" t="n"/>
      <c r="I90" s="15" t="n"/>
      <c r="J90" s="14" t="n"/>
      <c r="K90" s="16">
        <f>IFERROR(VLOOKUP(A90,Precios!$A$5:$C$14,2,FALSE()),"")</f>
        <v/>
      </c>
      <c r="L90" s="16">
        <f>IFERROR(VLOOKUP(A90,Precios!$A$5:$C$14,3,FALSE()),"")</f>
        <v/>
      </c>
      <c r="M90" s="16">
        <f>IF(AND(K90&lt;&gt;"",L90&lt;&gt;""),L90-K90,"")</f>
        <v/>
      </c>
      <c r="N90" s="14">
        <f>IF(AND(H90&lt;&gt;"",I90&lt;&gt;""),I90-H90,"")</f>
        <v/>
      </c>
      <c r="O90" s="14">
        <f>IF(I90&lt;&gt;"",I90-TODAY(),"")</f>
        <v/>
      </c>
      <c r="P90" s="15">
        <f>IF(I90="","",IF(J90="Anual",I90+365,I90+30))</f>
        <v/>
      </c>
      <c r="Q90" s="14">
        <f>IF(I90="","",IF(O90&lt;0,"Vencida",IF(O90&lt;=3,"Por vencer","Activa")))</f>
        <v/>
      </c>
      <c r="R90" s="14" t="n"/>
      <c r="S90" s="14">
        <f>IF(OR(E90="",I90=""),"",HYPERLINK(IF(F90&lt;&gt;"","https://wa.me/"&amp;SUBSTITUTE(SUBSTITUTE(SUBSTITUTE(F90,"+",""),"-","")," ","")&amp;"?text="&amp;SUBSTITUTE(SUBSTITUTE("Hola "&amp;E90&amp;", tu cuenta de "&amp;A90&amp;" vence el "&amp;TEXT(I90,"dd/mm/yyyy")&amp;". Deseas renovarla?"," ","%20"),"?","%3F"),"https://api.whatsapp.com/send?text="&amp;SUBSTITUTE(SUBSTITUTE("Hola "&amp;E90&amp;", tu cuenta de "&amp;A90&amp;" vence el "&amp;TEXT(I90,"dd/mm/yyyy")&amp;". Deseas renovarla?"," ","%20"),"?","%3F")),"Enviar recordatorio"))</f>
        <v/>
      </c>
      <c r="T90" s="14" t="n"/>
    </row>
    <row r="91" ht="15" customHeight="1" s="28">
      <c r="A91" s="14" t="n"/>
      <c r="B91" s="14" t="n"/>
      <c r="C91" s="14" t="n"/>
      <c r="D91" s="14" t="n"/>
      <c r="E91" s="14" t="n"/>
      <c r="F91" s="14" t="n"/>
      <c r="G91" s="14" t="n"/>
      <c r="H91" s="15" t="n"/>
      <c r="I91" s="15" t="n"/>
      <c r="J91" s="14" t="n"/>
      <c r="K91" s="16">
        <f>IFERROR(VLOOKUP(A91,Precios!$A$5:$C$14,2,FALSE()),"")</f>
        <v/>
      </c>
      <c r="L91" s="16">
        <f>IFERROR(VLOOKUP(A91,Precios!$A$5:$C$14,3,FALSE()),"")</f>
        <v/>
      </c>
      <c r="M91" s="16">
        <f>IF(AND(K91&lt;&gt;"",L91&lt;&gt;""),L91-K91,"")</f>
        <v/>
      </c>
      <c r="N91" s="14">
        <f>IF(AND(H91&lt;&gt;"",I91&lt;&gt;""),I91-H91,"")</f>
        <v/>
      </c>
      <c r="O91" s="14">
        <f>IF(I91&lt;&gt;"",I91-TODAY(),"")</f>
        <v/>
      </c>
      <c r="P91" s="15">
        <f>IF(I91="","",IF(J91="Anual",I91+365,I91+30))</f>
        <v/>
      </c>
      <c r="Q91" s="14">
        <f>IF(I91="","",IF(O91&lt;0,"Vencida",IF(O91&lt;=3,"Por vencer","Activa")))</f>
        <v/>
      </c>
      <c r="R91" s="14" t="n"/>
      <c r="S91" s="14">
        <f>IF(OR(E91="",I91=""),"",HYPERLINK(IF(F91&lt;&gt;"","https://wa.me/"&amp;SUBSTITUTE(SUBSTITUTE(SUBSTITUTE(F91,"+",""),"-","")," ","")&amp;"?text="&amp;SUBSTITUTE(SUBSTITUTE("Hola "&amp;E91&amp;", tu cuenta de "&amp;A91&amp;" vence el "&amp;TEXT(I91,"dd/mm/yyyy")&amp;". Deseas renovarla?"," ","%20"),"?","%3F"),"https://api.whatsapp.com/send?text="&amp;SUBSTITUTE(SUBSTITUTE("Hola "&amp;E91&amp;", tu cuenta de "&amp;A91&amp;" vence el "&amp;TEXT(I91,"dd/mm/yyyy")&amp;". Deseas renovarla?"," ","%20"),"?","%3F")),"Enviar recordatorio"))</f>
        <v/>
      </c>
      <c r="T91" s="14" t="n"/>
    </row>
    <row r="92" ht="15" customHeight="1" s="28">
      <c r="A92" s="14" t="n"/>
      <c r="B92" s="14" t="n"/>
      <c r="C92" s="14" t="n"/>
      <c r="D92" s="14" t="n"/>
      <c r="E92" s="14" t="n"/>
      <c r="F92" s="14" t="n"/>
      <c r="G92" s="14" t="n"/>
      <c r="H92" s="15" t="n"/>
      <c r="I92" s="15" t="n"/>
      <c r="J92" s="14" t="n"/>
      <c r="K92" s="16">
        <f>IFERROR(VLOOKUP(A92,Precios!$A$5:$C$14,2,FALSE()),"")</f>
        <v/>
      </c>
      <c r="L92" s="16">
        <f>IFERROR(VLOOKUP(A92,Precios!$A$5:$C$14,3,FALSE()),"")</f>
        <v/>
      </c>
      <c r="M92" s="16">
        <f>IF(AND(K92&lt;&gt;"",L92&lt;&gt;""),L92-K92,"")</f>
        <v/>
      </c>
      <c r="N92" s="14">
        <f>IF(AND(H92&lt;&gt;"",I92&lt;&gt;""),I92-H92,"")</f>
        <v/>
      </c>
      <c r="O92" s="14">
        <f>IF(I92&lt;&gt;"",I92-TODAY(),"")</f>
        <v/>
      </c>
      <c r="P92" s="15">
        <f>IF(I92="","",IF(J92="Anual",I92+365,I92+30))</f>
        <v/>
      </c>
      <c r="Q92" s="14">
        <f>IF(I92="","",IF(O92&lt;0,"Vencida",IF(O92&lt;=3,"Por vencer","Activa")))</f>
        <v/>
      </c>
      <c r="R92" s="14" t="n"/>
      <c r="S92" s="14">
        <f>IF(OR(E92="",I92=""),"",HYPERLINK(IF(F92&lt;&gt;"","https://wa.me/"&amp;SUBSTITUTE(SUBSTITUTE(SUBSTITUTE(F92,"+",""),"-","")," ","")&amp;"?text="&amp;SUBSTITUTE(SUBSTITUTE("Hola "&amp;E92&amp;", tu cuenta de "&amp;A92&amp;" vence el "&amp;TEXT(I92,"dd/mm/yyyy")&amp;". Deseas renovarla?"," ","%20"),"?","%3F"),"https://api.whatsapp.com/send?text="&amp;SUBSTITUTE(SUBSTITUTE("Hola "&amp;E92&amp;", tu cuenta de "&amp;A92&amp;" vence el "&amp;TEXT(I92,"dd/mm/yyyy")&amp;". Deseas renovarla?"," ","%20"),"?","%3F")),"Enviar recordatorio"))</f>
        <v/>
      </c>
      <c r="T92" s="14" t="n"/>
    </row>
    <row r="93" ht="15" customHeight="1" s="28">
      <c r="A93" s="14" t="n"/>
      <c r="B93" s="14" t="n"/>
      <c r="C93" s="14" t="n"/>
      <c r="D93" s="14" t="n"/>
      <c r="E93" s="14" t="n"/>
      <c r="F93" s="14" t="n"/>
      <c r="G93" s="14" t="n"/>
      <c r="H93" s="15" t="n"/>
      <c r="I93" s="15" t="n"/>
      <c r="J93" s="14" t="n"/>
      <c r="K93" s="16">
        <f>IFERROR(VLOOKUP(A93,Precios!$A$5:$C$14,2,FALSE()),"")</f>
        <v/>
      </c>
      <c r="L93" s="16">
        <f>IFERROR(VLOOKUP(A93,Precios!$A$5:$C$14,3,FALSE()),"")</f>
        <v/>
      </c>
      <c r="M93" s="16">
        <f>IF(AND(K93&lt;&gt;"",L93&lt;&gt;""),L93-K93,"")</f>
        <v/>
      </c>
      <c r="N93" s="14">
        <f>IF(AND(H93&lt;&gt;"",I93&lt;&gt;""),I93-H93,"")</f>
        <v/>
      </c>
      <c r="O93" s="14">
        <f>IF(I93&lt;&gt;"",I93-TODAY(),"")</f>
        <v/>
      </c>
      <c r="P93" s="15">
        <f>IF(I93="","",IF(J93="Anual",I93+365,I93+30))</f>
        <v/>
      </c>
      <c r="Q93" s="14">
        <f>IF(I93="","",IF(O93&lt;0,"Vencida",IF(O93&lt;=3,"Por vencer","Activa")))</f>
        <v/>
      </c>
      <c r="R93" s="14" t="n"/>
      <c r="S93" s="14">
        <f>IF(OR(E93="",I93=""),"",HYPERLINK(IF(F93&lt;&gt;"","https://wa.me/"&amp;SUBSTITUTE(SUBSTITUTE(SUBSTITUTE(F93,"+",""),"-","")," ","")&amp;"?text="&amp;SUBSTITUTE(SUBSTITUTE("Hola "&amp;E93&amp;", tu cuenta de "&amp;A93&amp;" vence el "&amp;TEXT(I93,"dd/mm/yyyy")&amp;". Deseas renovarla?"," ","%20"),"?","%3F"),"https://api.whatsapp.com/send?text="&amp;SUBSTITUTE(SUBSTITUTE("Hola "&amp;E93&amp;", tu cuenta de "&amp;A93&amp;" vence el "&amp;TEXT(I93,"dd/mm/yyyy")&amp;". Deseas renovarla?"," ","%20"),"?","%3F")),"Enviar recordatorio"))</f>
        <v/>
      </c>
      <c r="T93" s="14" t="n"/>
    </row>
    <row r="94" ht="15" customHeight="1" s="28">
      <c r="A94" s="14" t="n"/>
      <c r="B94" s="14" t="n"/>
      <c r="C94" s="14" t="n"/>
      <c r="D94" s="14" t="n"/>
      <c r="E94" s="14" t="n"/>
      <c r="F94" s="14" t="n"/>
      <c r="G94" s="14" t="n"/>
      <c r="H94" s="15" t="n"/>
      <c r="I94" s="15" t="n"/>
      <c r="J94" s="14" t="n"/>
      <c r="K94" s="16">
        <f>IFERROR(VLOOKUP(A94,Precios!$A$5:$C$14,2,FALSE()),"")</f>
        <v/>
      </c>
      <c r="L94" s="16">
        <f>IFERROR(VLOOKUP(A94,Precios!$A$5:$C$14,3,FALSE()),"")</f>
        <v/>
      </c>
      <c r="M94" s="16">
        <f>IF(AND(K94&lt;&gt;"",L94&lt;&gt;""),L94-K94,"")</f>
        <v/>
      </c>
      <c r="N94" s="14">
        <f>IF(AND(H94&lt;&gt;"",I94&lt;&gt;""),I94-H94,"")</f>
        <v/>
      </c>
      <c r="O94" s="14">
        <f>IF(I94&lt;&gt;"",I94-TODAY(),"")</f>
        <v/>
      </c>
      <c r="P94" s="15">
        <f>IF(I94="","",IF(J94="Anual",I94+365,I94+30))</f>
        <v/>
      </c>
      <c r="Q94" s="14">
        <f>IF(I94="","",IF(O94&lt;0,"Vencida",IF(O94&lt;=3,"Por vencer","Activa")))</f>
        <v/>
      </c>
      <c r="R94" s="14" t="n"/>
      <c r="S94" s="14">
        <f>IF(OR(E94="",I94=""),"",HYPERLINK(IF(F94&lt;&gt;"","https://wa.me/"&amp;SUBSTITUTE(SUBSTITUTE(SUBSTITUTE(F94,"+",""),"-","")," ","")&amp;"?text="&amp;SUBSTITUTE(SUBSTITUTE("Hola "&amp;E94&amp;", tu cuenta de "&amp;A94&amp;" vence el "&amp;TEXT(I94,"dd/mm/yyyy")&amp;". Deseas renovarla?"," ","%20"),"?","%3F"),"https://api.whatsapp.com/send?text="&amp;SUBSTITUTE(SUBSTITUTE("Hola "&amp;E94&amp;", tu cuenta de "&amp;A94&amp;" vence el "&amp;TEXT(I94,"dd/mm/yyyy")&amp;". Deseas renovarla?"," ","%20"),"?","%3F")),"Enviar recordatorio"))</f>
        <v/>
      </c>
      <c r="T94" s="14" t="n"/>
    </row>
    <row r="95" ht="15" customHeight="1" s="28">
      <c r="A95" s="14" t="n"/>
      <c r="B95" s="14" t="n"/>
      <c r="C95" s="14" t="n"/>
      <c r="D95" s="14" t="n"/>
      <c r="E95" s="14" t="n"/>
      <c r="F95" s="14" t="n"/>
      <c r="G95" s="14" t="n"/>
      <c r="H95" s="15" t="n"/>
      <c r="I95" s="15" t="n"/>
      <c r="J95" s="14" t="n"/>
      <c r="K95" s="16">
        <f>IFERROR(VLOOKUP(A95,Precios!$A$5:$C$14,2,FALSE()),"")</f>
        <v/>
      </c>
      <c r="L95" s="16">
        <f>IFERROR(VLOOKUP(A95,Precios!$A$5:$C$14,3,FALSE()),"")</f>
        <v/>
      </c>
      <c r="M95" s="16">
        <f>IF(AND(K95&lt;&gt;"",L95&lt;&gt;""),L95-K95,"")</f>
        <v/>
      </c>
      <c r="N95" s="14">
        <f>IF(AND(H95&lt;&gt;"",I95&lt;&gt;""),I95-H95,"")</f>
        <v/>
      </c>
      <c r="O95" s="14">
        <f>IF(I95&lt;&gt;"",I95-TODAY(),"")</f>
        <v/>
      </c>
      <c r="P95" s="15">
        <f>IF(I95="","",IF(J95="Anual",I95+365,I95+30))</f>
        <v/>
      </c>
      <c r="Q95" s="14">
        <f>IF(I95="","",IF(O95&lt;0,"Vencida",IF(O95&lt;=3,"Por vencer","Activa")))</f>
        <v/>
      </c>
      <c r="R95" s="14" t="n"/>
      <c r="S95" s="14">
        <f>IF(OR(E95="",I95=""),"",HYPERLINK(IF(F95&lt;&gt;"","https://wa.me/"&amp;SUBSTITUTE(SUBSTITUTE(SUBSTITUTE(F95,"+",""),"-","")," ","")&amp;"?text="&amp;SUBSTITUTE(SUBSTITUTE("Hola "&amp;E95&amp;", tu cuenta de "&amp;A95&amp;" vence el "&amp;TEXT(I95,"dd/mm/yyyy")&amp;". Deseas renovarla?"," ","%20"),"?","%3F"),"https://api.whatsapp.com/send?text="&amp;SUBSTITUTE(SUBSTITUTE("Hola "&amp;E95&amp;", tu cuenta de "&amp;A95&amp;" vence el "&amp;TEXT(I95,"dd/mm/yyyy")&amp;". Deseas renovarla?"," ","%20"),"?","%3F")),"Enviar recordatorio"))</f>
        <v/>
      </c>
      <c r="T95" s="14" t="n"/>
    </row>
    <row r="96" ht="15" customHeight="1" s="28">
      <c r="A96" s="14" t="n"/>
      <c r="B96" s="14" t="n"/>
      <c r="C96" s="14" t="n"/>
      <c r="D96" s="14" t="n"/>
      <c r="E96" s="14" t="n"/>
      <c r="F96" s="14" t="n"/>
      <c r="G96" s="14" t="n"/>
      <c r="H96" s="15" t="n"/>
      <c r="I96" s="15" t="n"/>
      <c r="J96" s="14" t="n"/>
      <c r="K96" s="16">
        <f>IFERROR(VLOOKUP(A96,Precios!$A$5:$C$14,2,FALSE()),"")</f>
        <v/>
      </c>
      <c r="L96" s="16">
        <f>IFERROR(VLOOKUP(A96,Precios!$A$5:$C$14,3,FALSE()),"")</f>
        <v/>
      </c>
      <c r="M96" s="16">
        <f>IF(AND(K96&lt;&gt;"",L96&lt;&gt;""),L96-K96,"")</f>
        <v/>
      </c>
      <c r="N96" s="14">
        <f>IF(AND(H96&lt;&gt;"",I96&lt;&gt;""),I96-H96,"")</f>
        <v/>
      </c>
      <c r="O96" s="14">
        <f>IF(I96&lt;&gt;"",I96-TODAY(),"")</f>
        <v/>
      </c>
      <c r="P96" s="15">
        <f>IF(I96="","",IF(J96="Anual",I96+365,I96+30))</f>
        <v/>
      </c>
      <c r="Q96" s="14">
        <f>IF(I96="","",IF(O96&lt;0,"Vencida",IF(O96&lt;=3,"Por vencer","Activa")))</f>
        <v/>
      </c>
      <c r="R96" s="14" t="n"/>
      <c r="S96" s="14">
        <f>IF(OR(E96="",I96=""),"",HYPERLINK(IF(F96&lt;&gt;"","https://wa.me/"&amp;SUBSTITUTE(SUBSTITUTE(SUBSTITUTE(F96,"+",""),"-","")," ","")&amp;"?text="&amp;SUBSTITUTE(SUBSTITUTE("Hola "&amp;E96&amp;", tu cuenta de "&amp;A96&amp;" vence el "&amp;TEXT(I96,"dd/mm/yyyy")&amp;". Deseas renovarla?"," ","%20"),"?","%3F"),"https://api.whatsapp.com/send?text="&amp;SUBSTITUTE(SUBSTITUTE("Hola "&amp;E96&amp;", tu cuenta de "&amp;A96&amp;" vence el "&amp;TEXT(I96,"dd/mm/yyyy")&amp;". Deseas renovarla?"," ","%20"),"?","%3F")),"Enviar recordatorio"))</f>
        <v/>
      </c>
      <c r="T96" s="14" t="n"/>
    </row>
    <row r="97" ht="15" customHeight="1" s="28">
      <c r="A97" s="14" t="n"/>
      <c r="B97" s="14" t="n"/>
      <c r="C97" s="14" t="n"/>
      <c r="D97" s="14" t="n"/>
      <c r="E97" s="14" t="n"/>
      <c r="F97" s="14" t="n"/>
      <c r="G97" s="14" t="n"/>
      <c r="H97" s="15" t="n"/>
      <c r="I97" s="15" t="n"/>
      <c r="J97" s="14" t="n"/>
      <c r="K97" s="16">
        <f>IFERROR(VLOOKUP(A97,Precios!$A$5:$C$14,2,FALSE()),"")</f>
        <v/>
      </c>
      <c r="L97" s="16">
        <f>IFERROR(VLOOKUP(A97,Precios!$A$5:$C$14,3,FALSE()),"")</f>
        <v/>
      </c>
      <c r="M97" s="16">
        <f>IF(AND(K97&lt;&gt;"",L97&lt;&gt;""),L97-K97,"")</f>
        <v/>
      </c>
      <c r="N97" s="14">
        <f>IF(AND(H97&lt;&gt;"",I97&lt;&gt;""),I97-H97,"")</f>
        <v/>
      </c>
      <c r="O97" s="14">
        <f>IF(I97&lt;&gt;"",I97-TODAY(),"")</f>
        <v/>
      </c>
      <c r="P97" s="15">
        <f>IF(I97="","",IF(J97="Anual",I97+365,I97+30))</f>
        <v/>
      </c>
      <c r="Q97" s="14">
        <f>IF(I97="","",IF(O97&lt;0,"Vencida",IF(O97&lt;=3,"Por vencer","Activa")))</f>
        <v/>
      </c>
      <c r="R97" s="14" t="n"/>
      <c r="S97" s="14">
        <f>IF(OR(E97="",I97=""),"",HYPERLINK(IF(F97&lt;&gt;"","https://wa.me/"&amp;SUBSTITUTE(SUBSTITUTE(SUBSTITUTE(F97,"+",""),"-","")," ","")&amp;"?text="&amp;SUBSTITUTE(SUBSTITUTE("Hola "&amp;E97&amp;", tu cuenta de "&amp;A97&amp;" vence el "&amp;TEXT(I97,"dd/mm/yyyy")&amp;". Deseas renovarla?"," ","%20"),"?","%3F"),"https://api.whatsapp.com/send?text="&amp;SUBSTITUTE(SUBSTITUTE("Hola "&amp;E97&amp;", tu cuenta de "&amp;A97&amp;" vence el "&amp;TEXT(I97,"dd/mm/yyyy")&amp;". Deseas renovarla?"," ","%20"),"?","%3F")),"Enviar recordatorio"))</f>
        <v/>
      </c>
      <c r="T97" s="14" t="n"/>
    </row>
    <row r="98" ht="15" customHeight="1" s="28">
      <c r="A98" s="14" t="n"/>
      <c r="B98" s="14" t="n"/>
      <c r="C98" s="14" t="n"/>
      <c r="D98" s="14" t="n"/>
      <c r="E98" s="14" t="n"/>
      <c r="F98" s="14" t="n"/>
      <c r="G98" s="14" t="n"/>
      <c r="H98" s="15" t="n"/>
      <c r="I98" s="15" t="n"/>
      <c r="J98" s="14" t="n"/>
      <c r="K98" s="16">
        <f>IFERROR(VLOOKUP(A98,Precios!$A$5:$C$14,2,FALSE()),"")</f>
        <v/>
      </c>
      <c r="L98" s="16">
        <f>IFERROR(VLOOKUP(A98,Precios!$A$5:$C$14,3,FALSE()),"")</f>
        <v/>
      </c>
      <c r="M98" s="16">
        <f>IF(AND(K98&lt;&gt;"",L98&lt;&gt;""),L98-K98,"")</f>
        <v/>
      </c>
      <c r="N98" s="14">
        <f>IF(AND(H98&lt;&gt;"",I98&lt;&gt;""),I98-H98,"")</f>
        <v/>
      </c>
      <c r="O98" s="14">
        <f>IF(I98&lt;&gt;"",I98-TODAY(),"")</f>
        <v/>
      </c>
      <c r="P98" s="15">
        <f>IF(I98="","",IF(J98="Anual",I98+365,I98+30))</f>
        <v/>
      </c>
      <c r="Q98" s="14">
        <f>IF(I98="","",IF(O98&lt;0,"Vencida",IF(O98&lt;=3,"Por vencer","Activa")))</f>
        <v/>
      </c>
      <c r="R98" s="14" t="n"/>
      <c r="S98" s="14">
        <f>IF(OR(E98="",I98=""),"",HYPERLINK(IF(F98&lt;&gt;"","https://wa.me/"&amp;SUBSTITUTE(SUBSTITUTE(SUBSTITUTE(F98,"+",""),"-","")," ","")&amp;"?text="&amp;SUBSTITUTE(SUBSTITUTE("Hola "&amp;E98&amp;", tu cuenta de "&amp;A98&amp;" vence el "&amp;TEXT(I98,"dd/mm/yyyy")&amp;". Deseas renovarla?"," ","%20"),"?","%3F"),"https://api.whatsapp.com/send?text="&amp;SUBSTITUTE(SUBSTITUTE("Hola "&amp;E98&amp;", tu cuenta de "&amp;A98&amp;" vence el "&amp;TEXT(I98,"dd/mm/yyyy")&amp;". Deseas renovarla?"," ","%20"),"?","%3F")),"Enviar recordatorio"))</f>
        <v/>
      </c>
      <c r="T98" s="14" t="n"/>
    </row>
    <row r="99" ht="15" customHeight="1" s="28">
      <c r="A99" s="14" t="n"/>
      <c r="B99" s="14" t="n"/>
      <c r="C99" s="14" t="n"/>
      <c r="D99" s="14" t="n"/>
      <c r="E99" s="14" t="n"/>
      <c r="F99" s="14" t="n"/>
      <c r="G99" s="14" t="n"/>
      <c r="H99" s="15" t="n"/>
      <c r="I99" s="15" t="n"/>
      <c r="J99" s="14" t="n"/>
      <c r="K99" s="16">
        <f>IFERROR(VLOOKUP(A99,Precios!$A$5:$C$14,2,FALSE()),"")</f>
        <v/>
      </c>
      <c r="L99" s="16">
        <f>IFERROR(VLOOKUP(A99,Precios!$A$5:$C$14,3,FALSE()),"")</f>
        <v/>
      </c>
      <c r="M99" s="16">
        <f>IF(AND(K99&lt;&gt;"",L99&lt;&gt;""),L99-K99,"")</f>
        <v/>
      </c>
      <c r="N99" s="14">
        <f>IF(AND(H99&lt;&gt;"",I99&lt;&gt;""),I99-H99,"")</f>
        <v/>
      </c>
      <c r="O99" s="14">
        <f>IF(I99&lt;&gt;"",I99-TODAY(),"")</f>
        <v/>
      </c>
      <c r="P99" s="15">
        <f>IF(I99="","",IF(J99="Anual",I99+365,I99+30))</f>
        <v/>
      </c>
      <c r="Q99" s="14">
        <f>IF(I99="","",IF(O99&lt;0,"Vencida",IF(O99&lt;=3,"Por vencer","Activa")))</f>
        <v/>
      </c>
      <c r="R99" s="14" t="n"/>
      <c r="S99" s="14">
        <f>IF(OR(E99="",I99=""),"",HYPERLINK(IF(F99&lt;&gt;"","https://wa.me/"&amp;SUBSTITUTE(SUBSTITUTE(SUBSTITUTE(F99,"+",""),"-","")," ","")&amp;"?text="&amp;SUBSTITUTE(SUBSTITUTE("Hola "&amp;E99&amp;", tu cuenta de "&amp;A99&amp;" vence el "&amp;TEXT(I99,"dd/mm/yyyy")&amp;". Deseas renovarla?"," ","%20"),"?","%3F"),"https://api.whatsapp.com/send?text="&amp;SUBSTITUTE(SUBSTITUTE("Hola "&amp;E99&amp;", tu cuenta de "&amp;A99&amp;" vence el "&amp;TEXT(I99,"dd/mm/yyyy")&amp;". Deseas renovarla?"," ","%20"),"?","%3F")),"Enviar recordatorio"))</f>
        <v/>
      </c>
      <c r="T99" s="14" t="n"/>
    </row>
    <row r="100" ht="15" customHeight="1" s="28">
      <c r="A100" s="14" t="n"/>
      <c r="B100" s="14" t="n"/>
      <c r="C100" s="14" t="n"/>
      <c r="D100" s="14" t="n"/>
      <c r="E100" s="14" t="n"/>
      <c r="F100" s="14" t="n"/>
      <c r="G100" s="14" t="n"/>
      <c r="H100" s="15" t="n"/>
      <c r="I100" s="15" t="n"/>
      <c r="J100" s="14" t="n"/>
      <c r="K100" s="16">
        <f>IFERROR(VLOOKUP(A100,Precios!$A$5:$C$14,2,FALSE()),"")</f>
        <v/>
      </c>
      <c r="L100" s="16">
        <f>IFERROR(VLOOKUP(A100,Precios!$A$5:$C$14,3,FALSE()),"")</f>
        <v/>
      </c>
      <c r="M100" s="16">
        <f>IF(AND(K100&lt;&gt;"",L100&lt;&gt;""),L100-K100,"")</f>
        <v/>
      </c>
      <c r="N100" s="14">
        <f>IF(AND(H100&lt;&gt;"",I100&lt;&gt;""),I100-H100,"")</f>
        <v/>
      </c>
      <c r="O100" s="14">
        <f>IF(I100&lt;&gt;"",I100-TODAY(),"")</f>
        <v/>
      </c>
      <c r="P100" s="15">
        <f>IF(I100="","",IF(J100="Anual",I100+365,I100+30))</f>
        <v/>
      </c>
      <c r="Q100" s="14">
        <f>IF(I100="","",IF(O100&lt;0,"Vencida",IF(O100&lt;=3,"Por vencer","Activa")))</f>
        <v/>
      </c>
      <c r="R100" s="14" t="n"/>
      <c r="S100" s="14">
        <f>IF(OR(E100="",I100=""),"",HYPERLINK(IF(F100&lt;&gt;"","https://wa.me/"&amp;SUBSTITUTE(SUBSTITUTE(SUBSTITUTE(F100,"+",""),"-","")," ","")&amp;"?text="&amp;SUBSTITUTE(SUBSTITUTE("Hola "&amp;E100&amp;", tu cuenta de "&amp;A100&amp;" vence el "&amp;TEXT(I100,"dd/mm/yyyy")&amp;". Deseas renovarla?"," ","%20"),"?","%3F"),"https://api.whatsapp.com/send?text="&amp;SUBSTITUTE(SUBSTITUTE("Hola "&amp;E100&amp;", tu cuenta de "&amp;A100&amp;" vence el "&amp;TEXT(I100,"dd/mm/yyyy")&amp;". Deseas renovarla?"," ","%20"),"?","%3F")),"Enviar recordatorio"))</f>
        <v/>
      </c>
      <c r="T100" s="14" t="n"/>
    </row>
    <row r="101" ht="15" customHeight="1" s="28">
      <c r="A101" s="14" t="n"/>
      <c r="B101" s="14" t="n"/>
      <c r="C101" s="14" t="n"/>
      <c r="D101" s="14" t="n"/>
      <c r="E101" s="14" t="n"/>
      <c r="F101" s="14" t="n"/>
      <c r="G101" s="14" t="n"/>
      <c r="H101" s="15" t="n"/>
      <c r="I101" s="15" t="n"/>
      <c r="J101" s="14" t="n"/>
      <c r="K101" s="16">
        <f>IFERROR(VLOOKUP(A101,Precios!$A$5:$C$14,2,FALSE()),"")</f>
        <v/>
      </c>
      <c r="L101" s="16">
        <f>IFERROR(VLOOKUP(A101,Precios!$A$5:$C$14,3,FALSE()),"")</f>
        <v/>
      </c>
      <c r="M101" s="16">
        <f>IF(AND(K101&lt;&gt;"",L101&lt;&gt;""),L101-K101,"")</f>
        <v/>
      </c>
      <c r="N101" s="14">
        <f>IF(AND(H101&lt;&gt;"",I101&lt;&gt;""),I101-H101,"")</f>
        <v/>
      </c>
      <c r="O101" s="14">
        <f>IF(I101&lt;&gt;"",I101-TODAY(),"")</f>
        <v/>
      </c>
      <c r="P101" s="15">
        <f>IF(I101="","",IF(J101="Anual",I101+365,I101+30))</f>
        <v/>
      </c>
      <c r="Q101" s="14">
        <f>IF(I101="","",IF(O101&lt;0,"Vencida",IF(O101&lt;=3,"Por vencer","Activa")))</f>
        <v/>
      </c>
      <c r="R101" s="14" t="n"/>
      <c r="S101" s="14">
        <f>IF(OR(E101="",I101=""),"",HYPERLINK(IF(F101&lt;&gt;"","https://wa.me/"&amp;SUBSTITUTE(SUBSTITUTE(SUBSTITUTE(F101,"+",""),"-","")," ","")&amp;"?text="&amp;SUBSTITUTE(SUBSTITUTE("Hola "&amp;E101&amp;", tu cuenta de "&amp;A101&amp;" vence el "&amp;TEXT(I101,"dd/mm/yyyy")&amp;". Deseas renovarla?"," ","%20"),"?","%3F"),"https://api.whatsapp.com/send?text="&amp;SUBSTITUTE(SUBSTITUTE("Hola "&amp;E101&amp;", tu cuenta de "&amp;A101&amp;" vence el "&amp;TEXT(I101,"dd/mm/yyyy")&amp;". Deseas renovarla?"," ","%20"),"?","%3F")),"Enviar recordatorio"))</f>
        <v/>
      </c>
      <c r="T101" s="14" t="n"/>
    </row>
    <row r="102" ht="15" customHeight="1" s="28">
      <c r="A102" s="14" t="n"/>
      <c r="B102" s="14" t="n"/>
      <c r="C102" s="14" t="n"/>
      <c r="D102" s="14" t="n"/>
      <c r="E102" s="14" t="n"/>
      <c r="F102" s="14" t="n"/>
      <c r="G102" s="14" t="n"/>
      <c r="H102" s="15" t="n"/>
      <c r="I102" s="15" t="n"/>
      <c r="J102" s="14" t="n"/>
      <c r="K102" s="16">
        <f>IFERROR(VLOOKUP(A102,Precios!$A$5:$C$14,2,FALSE()),"")</f>
        <v/>
      </c>
      <c r="L102" s="16">
        <f>IFERROR(VLOOKUP(A102,Precios!$A$5:$C$14,3,FALSE()),"")</f>
        <v/>
      </c>
      <c r="M102" s="16">
        <f>IF(AND(K102&lt;&gt;"",L102&lt;&gt;""),L102-K102,"")</f>
        <v/>
      </c>
      <c r="N102" s="14">
        <f>IF(AND(H102&lt;&gt;"",I102&lt;&gt;""),I102-H102,"")</f>
        <v/>
      </c>
      <c r="O102" s="14">
        <f>IF(I102&lt;&gt;"",I102-TODAY(),"")</f>
        <v/>
      </c>
      <c r="P102" s="15">
        <f>IF(I102="","",IF(J102="Anual",I102+365,I102+30))</f>
        <v/>
      </c>
      <c r="Q102" s="14">
        <f>IF(I102="","",IF(O102&lt;0,"Vencida",IF(O102&lt;=3,"Por vencer","Activa")))</f>
        <v/>
      </c>
      <c r="R102" s="14" t="n"/>
      <c r="S102" s="14">
        <f>IF(OR(E102="",I102=""),"",HYPERLINK(IF(F102&lt;&gt;"","https://wa.me/"&amp;SUBSTITUTE(SUBSTITUTE(SUBSTITUTE(F102,"+",""),"-","")," ","")&amp;"?text="&amp;SUBSTITUTE(SUBSTITUTE("Hola "&amp;E102&amp;", tu cuenta de "&amp;A102&amp;" vence el "&amp;TEXT(I102,"dd/mm/yyyy")&amp;". Deseas renovarla?"," ","%20"),"?","%3F"),"https://api.whatsapp.com/send?text="&amp;SUBSTITUTE(SUBSTITUTE("Hola "&amp;E102&amp;", tu cuenta de "&amp;A102&amp;" vence el "&amp;TEXT(I102,"dd/mm/yyyy")&amp;". Deseas renovarla?"," ","%20"),"?","%3F")),"Enviar recordatorio"))</f>
        <v/>
      </c>
      <c r="T102" s="14" t="n"/>
    </row>
    <row r="103" ht="15" customHeight="1" s="28">
      <c r="A103" s="14" t="n"/>
      <c r="B103" s="14" t="n"/>
      <c r="C103" s="14" t="n"/>
      <c r="D103" s="14" t="n"/>
      <c r="E103" s="14" t="n"/>
      <c r="F103" s="14" t="n"/>
      <c r="G103" s="14" t="n"/>
      <c r="H103" s="15" t="n"/>
      <c r="I103" s="15" t="n"/>
      <c r="J103" s="14" t="n"/>
      <c r="K103" s="16">
        <f>IFERROR(VLOOKUP(A103,Precios!$A$5:$C$14,2,FALSE()),"")</f>
        <v/>
      </c>
      <c r="L103" s="16">
        <f>IFERROR(VLOOKUP(A103,Precios!$A$5:$C$14,3,FALSE()),"")</f>
        <v/>
      </c>
      <c r="M103" s="16">
        <f>IF(AND(K103&lt;&gt;"",L103&lt;&gt;""),L103-K103,"")</f>
        <v/>
      </c>
      <c r="N103" s="14">
        <f>IF(AND(H103&lt;&gt;"",I103&lt;&gt;""),I103-H103,"")</f>
        <v/>
      </c>
      <c r="O103" s="14">
        <f>IF(I103&lt;&gt;"",I103-TODAY(),"")</f>
        <v/>
      </c>
      <c r="P103" s="15">
        <f>IF(I103="","",IF(J103="Anual",I103+365,I103+30))</f>
        <v/>
      </c>
      <c r="Q103" s="14">
        <f>IF(I103="","",IF(O103&lt;0,"Vencida",IF(O103&lt;=3,"Por vencer","Activa")))</f>
        <v/>
      </c>
      <c r="R103" s="14" t="n"/>
      <c r="S103" s="14">
        <f>IF(OR(E103="",I103=""),"",HYPERLINK(IF(F103&lt;&gt;"","https://wa.me/"&amp;SUBSTITUTE(SUBSTITUTE(SUBSTITUTE(F103,"+",""),"-","")," ","")&amp;"?text="&amp;SUBSTITUTE(SUBSTITUTE("Hola "&amp;E103&amp;", tu cuenta de "&amp;A103&amp;" vence el "&amp;TEXT(I103,"dd/mm/yyyy")&amp;". Deseas renovarla?"," ","%20"),"?","%3F"),"https://api.whatsapp.com/send?text="&amp;SUBSTITUTE(SUBSTITUTE("Hola "&amp;E103&amp;", tu cuenta de "&amp;A103&amp;" vence el "&amp;TEXT(I103,"dd/mm/yyyy")&amp;". Deseas renovarla?"," ","%20"),"?","%3F")),"Enviar recordatorio"))</f>
        <v/>
      </c>
      <c r="T103" s="14" t="n"/>
    </row>
    <row r="104" ht="15" customHeight="1" s="28">
      <c r="A104" s="14" t="n"/>
      <c r="B104" s="14" t="n"/>
      <c r="C104" s="14" t="n"/>
      <c r="D104" s="14" t="n"/>
      <c r="E104" s="14" t="n"/>
      <c r="F104" s="14" t="n"/>
      <c r="G104" s="14" t="n"/>
      <c r="H104" s="15" t="n"/>
      <c r="I104" s="15" t="n"/>
      <c r="J104" s="14" t="n"/>
      <c r="K104" s="16">
        <f>IFERROR(VLOOKUP(A104,Precios!$A$5:$C$14,2,FALSE()),"")</f>
        <v/>
      </c>
      <c r="L104" s="16">
        <f>IFERROR(VLOOKUP(A104,Precios!$A$5:$C$14,3,FALSE()),"")</f>
        <v/>
      </c>
      <c r="M104" s="16">
        <f>IF(AND(K104&lt;&gt;"",L104&lt;&gt;""),L104-K104,"")</f>
        <v/>
      </c>
      <c r="N104" s="14">
        <f>IF(AND(H104&lt;&gt;"",I104&lt;&gt;""),I104-H104,"")</f>
        <v/>
      </c>
      <c r="O104" s="14">
        <f>IF(I104&lt;&gt;"",I104-TODAY(),"")</f>
        <v/>
      </c>
      <c r="P104" s="15">
        <f>IF(I104="","",IF(J104="Anual",I104+365,I104+30))</f>
        <v/>
      </c>
      <c r="Q104" s="14">
        <f>IF(I104="","",IF(O104&lt;0,"Vencida",IF(O104&lt;=3,"Por vencer","Activa")))</f>
        <v/>
      </c>
      <c r="R104" s="14" t="n"/>
      <c r="S104" s="14">
        <f>IF(OR(E104="",I104=""),"",HYPERLINK(IF(F104&lt;&gt;"","https://wa.me/"&amp;SUBSTITUTE(SUBSTITUTE(SUBSTITUTE(F104,"+",""),"-","")," ","")&amp;"?text="&amp;SUBSTITUTE(SUBSTITUTE("Hola "&amp;E104&amp;", tu cuenta de "&amp;A104&amp;" vence el "&amp;TEXT(I104,"dd/mm/yyyy")&amp;". Deseas renovarla?"," ","%20"),"?","%3F"),"https://api.whatsapp.com/send?text="&amp;SUBSTITUTE(SUBSTITUTE("Hola "&amp;E104&amp;", tu cuenta de "&amp;A104&amp;" vence el "&amp;TEXT(I104,"dd/mm/yyyy")&amp;". Deseas renovarla?"," ","%20"),"?","%3F")),"Enviar recordatorio"))</f>
        <v/>
      </c>
      <c r="T104" s="14" t="n"/>
    </row>
    <row r="105" ht="15" customHeight="1" s="28">
      <c r="A105" s="14" t="n"/>
      <c r="B105" s="14" t="n"/>
      <c r="C105" s="14" t="n"/>
      <c r="D105" s="14" t="n"/>
      <c r="E105" s="14" t="n"/>
      <c r="F105" s="14" t="n"/>
      <c r="G105" s="14" t="n"/>
      <c r="H105" s="15" t="n"/>
      <c r="I105" s="15" t="n"/>
      <c r="J105" s="14" t="n"/>
      <c r="K105" s="16">
        <f>IFERROR(VLOOKUP(A105,Precios!$A$5:$C$14,2,FALSE()),"")</f>
        <v/>
      </c>
      <c r="L105" s="16">
        <f>IFERROR(VLOOKUP(A105,Precios!$A$5:$C$14,3,FALSE()),"")</f>
        <v/>
      </c>
      <c r="M105" s="16">
        <f>IF(AND(K105&lt;&gt;"",L105&lt;&gt;""),L105-K105,"")</f>
        <v/>
      </c>
      <c r="N105" s="14">
        <f>IF(AND(H105&lt;&gt;"",I105&lt;&gt;""),I105-H105,"")</f>
        <v/>
      </c>
      <c r="O105" s="14">
        <f>IF(I105&lt;&gt;"",I105-TODAY(),"")</f>
        <v/>
      </c>
      <c r="P105" s="15">
        <f>IF(I105="","",IF(J105="Anual",I105+365,I105+30))</f>
        <v/>
      </c>
      <c r="Q105" s="14">
        <f>IF(I105="","",IF(O105&lt;0,"Vencida",IF(O105&lt;=3,"Por vencer","Activa")))</f>
        <v/>
      </c>
      <c r="R105" s="14" t="n"/>
      <c r="S105" s="14">
        <f>IF(OR(E105="",I105=""),"",HYPERLINK(IF(F105&lt;&gt;"","https://wa.me/"&amp;SUBSTITUTE(SUBSTITUTE(SUBSTITUTE(F105,"+",""),"-","")," ","")&amp;"?text="&amp;SUBSTITUTE(SUBSTITUTE("Hola "&amp;E105&amp;", tu cuenta de "&amp;A105&amp;" vence el "&amp;TEXT(I105,"dd/mm/yyyy")&amp;". Deseas renovarla?"," ","%20"),"?","%3F"),"https://api.whatsapp.com/send?text="&amp;SUBSTITUTE(SUBSTITUTE("Hola "&amp;E105&amp;", tu cuenta de "&amp;A105&amp;" vence el "&amp;TEXT(I105,"dd/mm/yyyy")&amp;". Deseas renovarla?"," ","%20"),"?","%3F")),"Enviar recordatorio"))</f>
        <v/>
      </c>
      <c r="T105" s="14" t="n"/>
    </row>
    <row r="106" ht="15" customHeight="1" s="28">
      <c r="A106" s="14" t="n"/>
      <c r="B106" s="14" t="n"/>
      <c r="C106" s="14" t="n"/>
      <c r="D106" s="14" t="n"/>
      <c r="E106" s="14" t="n"/>
      <c r="F106" s="14" t="n"/>
      <c r="G106" s="14" t="n"/>
      <c r="H106" s="15" t="n"/>
      <c r="I106" s="15" t="n"/>
      <c r="J106" s="14" t="n"/>
      <c r="K106" s="16">
        <f>IFERROR(VLOOKUP(A106,Precios!$A$5:$C$14,2,FALSE()),"")</f>
        <v/>
      </c>
      <c r="L106" s="16">
        <f>IFERROR(VLOOKUP(A106,Precios!$A$5:$C$14,3,FALSE()),"")</f>
        <v/>
      </c>
      <c r="M106" s="16">
        <f>IF(AND(K106&lt;&gt;"",L106&lt;&gt;""),L106-K106,"")</f>
        <v/>
      </c>
      <c r="N106" s="14">
        <f>IF(AND(H106&lt;&gt;"",I106&lt;&gt;""),I106-H106,"")</f>
        <v/>
      </c>
      <c r="O106" s="14">
        <f>IF(I106&lt;&gt;"",I106-TODAY(),"")</f>
        <v/>
      </c>
      <c r="P106" s="15">
        <f>IF(I106="","",IF(J106="Anual",I106+365,I106+30))</f>
        <v/>
      </c>
      <c r="Q106" s="14">
        <f>IF(I106="","",IF(O106&lt;0,"Vencida",IF(O106&lt;=3,"Por vencer","Activa")))</f>
        <v/>
      </c>
      <c r="R106" s="14" t="n"/>
      <c r="S106" s="14">
        <f>IF(OR(E106="",I106=""),"",HYPERLINK(IF(F106&lt;&gt;"","https://wa.me/"&amp;SUBSTITUTE(SUBSTITUTE(SUBSTITUTE(F106,"+",""),"-","")," ","")&amp;"?text="&amp;SUBSTITUTE(SUBSTITUTE("Hola "&amp;E106&amp;", tu cuenta de "&amp;A106&amp;" vence el "&amp;TEXT(I106,"dd/mm/yyyy")&amp;". Deseas renovarla?"," ","%20"),"?","%3F"),"https://api.whatsapp.com/send?text="&amp;SUBSTITUTE(SUBSTITUTE("Hola "&amp;E106&amp;", tu cuenta de "&amp;A106&amp;" vence el "&amp;TEXT(I106,"dd/mm/yyyy")&amp;". Deseas renovarla?"," ","%20"),"?","%3F")),"Enviar recordatorio"))</f>
        <v/>
      </c>
      <c r="T106" s="14" t="n"/>
    </row>
    <row r="107" ht="15" customHeight="1" s="28">
      <c r="A107" s="14" t="n"/>
      <c r="B107" s="14" t="n"/>
      <c r="C107" s="14" t="n"/>
      <c r="D107" s="14" t="n"/>
      <c r="E107" s="14" t="n"/>
      <c r="F107" s="14" t="n"/>
      <c r="G107" s="14" t="n"/>
      <c r="H107" s="15" t="n"/>
      <c r="I107" s="15" t="n"/>
      <c r="J107" s="14" t="n"/>
      <c r="K107" s="16">
        <f>IFERROR(VLOOKUP(A107,Precios!$A$5:$C$14,2,FALSE()),"")</f>
        <v/>
      </c>
      <c r="L107" s="16">
        <f>IFERROR(VLOOKUP(A107,Precios!$A$5:$C$14,3,FALSE()),"")</f>
        <v/>
      </c>
      <c r="M107" s="16">
        <f>IF(AND(K107&lt;&gt;"",L107&lt;&gt;""),L107-K107,"")</f>
        <v/>
      </c>
      <c r="N107" s="14">
        <f>IF(AND(H107&lt;&gt;"",I107&lt;&gt;""),I107-H107,"")</f>
        <v/>
      </c>
      <c r="O107" s="14">
        <f>IF(I107&lt;&gt;"",I107-TODAY(),"")</f>
        <v/>
      </c>
      <c r="P107" s="15">
        <f>IF(I107="","",IF(J107="Anual",I107+365,I107+30))</f>
        <v/>
      </c>
      <c r="Q107" s="14">
        <f>IF(I107="","",IF(O107&lt;0,"Vencida",IF(O107&lt;=3,"Por vencer","Activa")))</f>
        <v/>
      </c>
      <c r="R107" s="14" t="n"/>
      <c r="S107" s="14">
        <f>IF(OR(E107="",I107=""),"",HYPERLINK(IF(F107&lt;&gt;"","https://wa.me/"&amp;SUBSTITUTE(SUBSTITUTE(SUBSTITUTE(F107,"+",""),"-","")," ","")&amp;"?text="&amp;SUBSTITUTE(SUBSTITUTE("Hola "&amp;E107&amp;", tu cuenta de "&amp;A107&amp;" vence el "&amp;TEXT(I107,"dd/mm/yyyy")&amp;". Deseas renovarla?"," ","%20"),"?","%3F"),"https://api.whatsapp.com/send?text="&amp;SUBSTITUTE(SUBSTITUTE("Hola "&amp;E107&amp;", tu cuenta de "&amp;A107&amp;" vence el "&amp;TEXT(I107,"dd/mm/yyyy")&amp;". Deseas renovarla?"," ","%20"),"?","%3F")),"Enviar recordatorio"))</f>
        <v/>
      </c>
      <c r="T107" s="14" t="n"/>
    </row>
    <row r="108" ht="15" customHeight="1" s="28">
      <c r="A108" s="14" t="n"/>
      <c r="B108" s="14" t="n"/>
      <c r="C108" s="14" t="n"/>
      <c r="D108" s="14" t="n"/>
      <c r="E108" s="14" t="n"/>
      <c r="F108" s="14" t="n"/>
      <c r="G108" s="14" t="n"/>
      <c r="H108" s="15" t="n"/>
      <c r="I108" s="15" t="n"/>
      <c r="J108" s="14" t="n"/>
      <c r="K108" s="16">
        <f>IFERROR(VLOOKUP(A108,Precios!$A$5:$C$14,2,FALSE()),"")</f>
        <v/>
      </c>
      <c r="L108" s="16">
        <f>IFERROR(VLOOKUP(A108,Precios!$A$5:$C$14,3,FALSE()),"")</f>
        <v/>
      </c>
      <c r="M108" s="16">
        <f>IF(AND(K108&lt;&gt;"",L108&lt;&gt;""),L108-K108,"")</f>
        <v/>
      </c>
      <c r="N108" s="14">
        <f>IF(AND(H108&lt;&gt;"",I108&lt;&gt;""),I108-H108,"")</f>
        <v/>
      </c>
      <c r="O108" s="14">
        <f>IF(I108&lt;&gt;"",I108-TODAY(),"")</f>
        <v/>
      </c>
      <c r="P108" s="15">
        <f>IF(I108="","",IF(J108="Anual",I108+365,I108+30))</f>
        <v/>
      </c>
      <c r="Q108" s="14">
        <f>IF(I108="","",IF(O108&lt;0,"Vencida",IF(O108&lt;=3,"Por vencer","Activa")))</f>
        <v/>
      </c>
      <c r="R108" s="14" t="n"/>
      <c r="S108" s="14">
        <f>IF(OR(E108="",I108=""),"",HYPERLINK(IF(F108&lt;&gt;"","https://wa.me/"&amp;SUBSTITUTE(SUBSTITUTE(SUBSTITUTE(F108,"+",""),"-","")," ","")&amp;"?text="&amp;SUBSTITUTE(SUBSTITUTE("Hola "&amp;E108&amp;", tu cuenta de "&amp;A108&amp;" vence el "&amp;TEXT(I108,"dd/mm/yyyy")&amp;". Deseas renovarla?"," ","%20"),"?","%3F"),"https://api.whatsapp.com/send?text="&amp;SUBSTITUTE(SUBSTITUTE("Hola "&amp;E108&amp;", tu cuenta de "&amp;A108&amp;" vence el "&amp;TEXT(I108,"dd/mm/yyyy")&amp;". Deseas renovarla?"," ","%20"),"?","%3F")),"Enviar recordatorio"))</f>
        <v/>
      </c>
      <c r="T108" s="14" t="n"/>
    </row>
    <row r="109" ht="15" customHeight="1" s="28">
      <c r="A109" s="14" t="n"/>
      <c r="B109" s="14" t="n"/>
      <c r="C109" s="14" t="n"/>
      <c r="D109" s="14" t="n"/>
      <c r="E109" s="14" t="n"/>
      <c r="F109" s="14" t="n"/>
      <c r="G109" s="14" t="n"/>
      <c r="H109" s="15" t="n"/>
      <c r="I109" s="15" t="n"/>
      <c r="J109" s="14" t="n"/>
      <c r="K109" s="16">
        <f>IFERROR(VLOOKUP(A109,Precios!$A$5:$C$14,2,FALSE()),"")</f>
        <v/>
      </c>
      <c r="L109" s="16">
        <f>IFERROR(VLOOKUP(A109,Precios!$A$5:$C$14,3,FALSE()),"")</f>
        <v/>
      </c>
      <c r="M109" s="16">
        <f>IF(AND(K109&lt;&gt;"",L109&lt;&gt;""),L109-K109,"")</f>
        <v/>
      </c>
      <c r="N109" s="14">
        <f>IF(AND(H109&lt;&gt;"",I109&lt;&gt;""),I109-H109,"")</f>
        <v/>
      </c>
      <c r="O109" s="14">
        <f>IF(I109&lt;&gt;"",I109-TODAY(),"")</f>
        <v/>
      </c>
      <c r="P109" s="15">
        <f>IF(I109="","",IF(J109="Anual",I109+365,I109+30))</f>
        <v/>
      </c>
      <c r="Q109" s="14">
        <f>IF(I109="","",IF(O109&lt;0,"Vencida",IF(O109&lt;=3,"Por vencer","Activa")))</f>
        <v/>
      </c>
      <c r="R109" s="14" t="n"/>
      <c r="S109" s="14">
        <f>IF(OR(E109="",I109=""),"",HYPERLINK(IF(F109&lt;&gt;"","https://wa.me/"&amp;SUBSTITUTE(SUBSTITUTE(SUBSTITUTE(F109,"+",""),"-","")," ","")&amp;"?text="&amp;SUBSTITUTE(SUBSTITUTE("Hola "&amp;E109&amp;", tu cuenta de "&amp;A109&amp;" vence el "&amp;TEXT(I109,"dd/mm/yyyy")&amp;". Deseas renovarla?"," ","%20"),"?","%3F"),"https://api.whatsapp.com/send?text="&amp;SUBSTITUTE(SUBSTITUTE("Hola "&amp;E109&amp;", tu cuenta de "&amp;A109&amp;" vence el "&amp;TEXT(I109,"dd/mm/yyyy")&amp;". Deseas renovarla?"," ","%20"),"?","%3F")),"Enviar recordatorio"))</f>
        <v/>
      </c>
      <c r="T109" s="14" t="n"/>
    </row>
    <row r="110" ht="15" customHeight="1" s="28">
      <c r="A110" s="14" t="n"/>
      <c r="B110" s="14" t="n"/>
      <c r="C110" s="14" t="n"/>
      <c r="D110" s="14" t="n"/>
      <c r="E110" s="14" t="n"/>
      <c r="F110" s="14" t="n"/>
      <c r="G110" s="14" t="n"/>
      <c r="H110" s="15" t="n"/>
      <c r="I110" s="15" t="n"/>
      <c r="J110" s="14" t="n"/>
      <c r="K110" s="16">
        <f>IFERROR(VLOOKUP(A110,Precios!$A$5:$C$14,2,FALSE()),"")</f>
        <v/>
      </c>
      <c r="L110" s="16">
        <f>IFERROR(VLOOKUP(A110,Precios!$A$5:$C$14,3,FALSE()),"")</f>
        <v/>
      </c>
      <c r="M110" s="16">
        <f>IF(AND(K110&lt;&gt;"",L110&lt;&gt;""),L110-K110,"")</f>
        <v/>
      </c>
      <c r="N110" s="14">
        <f>IF(AND(H110&lt;&gt;"",I110&lt;&gt;""),I110-H110,"")</f>
        <v/>
      </c>
      <c r="O110" s="14">
        <f>IF(I110&lt;&gt;"",I110-TODAY(),"")</f>
        <v/>
      </c>
      <c r="P110" s="15">
        <f>IF(I110="","",IF(J110="Anual",I110+365,I110+30))</f>
        <v/>
      </c>
      <c r="Q110" s="14">
        <f>IF(I110="","",IF(O110&lt;0,"Vencida",IF(O110&lt;=3,"Por vencer","Activa")))</f>
        <v/>
      </c>
      <c r="R110" s="14" t="n"/>
      <c r="S110" s="14">
        <f>IF(OR(E110="",I110=""),"",HYPERLINK(IF(F110&lt;&gt;"","https://wa.me/"&amp;SUBSTITUTE(SUBSTITUTE(SUBSTITUTE(F110,"+",""),"-","")," ","")&amp;"?text="&amp;SUBSTITUTE(SUBSTITUTE("Hola "&amp;E110&amp;", tu cuenta de "&amp;A110&amp;" vence el "&amp;TEXT(I110,"dd/mm/yyyy")&amp;". Deseas renovarla?"," ","%20"),"?","%3F"),"https://api.whatsapp.com/send?text="&amp;SUBSTITUTE(SUBSTITUTE("Hola "&amp;E110&amp;", tu cuenta de "&amp;A110&amp;" vence el "&amp;TEXT(I110,"dd/mm/yyyy")&amp;". Deseas renovarla?"," ","%20"),"?","%3F")),"Enviar recordatorio"))</f>
        <v/>
      </c>
      <c r="T110" s="14" t="n"/>
    </row>
    <row r="111" ht="15" customHeight="1" s="28">
      <c r="A111" s="14" t="n"/>
      <c r="B111" s="14" t="n"/>
      <c r="C111" s="14" t="n"/>
      <c r="D111" s="14" t="n"/>
      <c r="E111" s="14" t="n"/>
      <c r="F111" s="14" t="n"/>
      <c r="G111" s="14" t="n"/>
      <c r="H111" s="15" t="n"/>
      <c r="I111" s="15" t="n"/>
      <c r="J111" s="14" t="n"/>
      <c r="K111" s="16">
        <f>IFERROR(VLOOKUP(A111,Precios!$A$5:$C$14,2,FALSE()),"")</f>
        <v/>
      </c>
      <c r="L111" s="16">
        <f>IFERROR(VLOOKUP(A111,Precios!$A$5:$C$14,3,FALSE()),"")</f>
        <v/>
      </c>
      <c r="M111" s="16">
        <f>IF(AND(K111&lt;&gt;"",L111&lt;&gt;""),L111-K111,"")</f>
        <v/>
      </c>
      <c r="N111" s="14">
        <f>IF(AND(H111&lt;&gt;"",I111&lt;&gt;""),I111-H111,"")</f>
        <v/>
      </c>
      <c r="O111" s="14">
        <f>IF(I111&lt;&gt;"",I111-TODAY(),"")</f>
        <v/>
      </c>
      <c r="P111" s="15">
        <f>IF(I111="","",IF(J111="Anual",I111+365,I111+30))</f>
        <v/>
      </c>
      <c r="Q111" s="14">
        <f>IF(I111="","",IF(O111&lt;0,"Vencida",IF(O111&lt;=3,"Por vencer","Activa")))</f>
        <v/>
      </c>
      <c r="R111" s="14" t="n"/>
      <c r="S111" s="14">
        <f>IF(OR(E111="",I111=""),"",HYPERLINK(IF(F111&lt;&gt;"","https://wa.me/"&amp;SUBSTITUTE(SUBSTITUTE(SUBSTITUTE(F111,"+",""),"-","")," ","")&amp;"?text="&amp;SUBSTITUTE(SUBSTITUTE("Hola "&amp;E111&amp;", tu cuenta de "&amp;A111&amp;" vence el "&amp;TEXT(I111,"dd/mm/yyyy")&amp;". Deseas renovarla?"," ","%20"),"?","%3F"),"https://api.whatsapp.com/send?text="&amp;SUBSTITUTE(SUBSTITUTE("Hola "&amp;E111&amp;", tu cuenta de "&amp;A111&amp;" vence el "&amp;TEXT(I111,"dd/mm/yyyy")&amp;". Deseas renovarla?"," ","%20"),"?","%3F")),"Enviar recordatorio"))</f>
        <v/>
      </c>
      <c r="T111" s="14" t="n"/>
    </row>
    <row r="112" ht="15" customHeight="1" s="28">
      <c r="A112" s="14" t="n"/>
      <c r="B112" s="14" t="n"/>
      <c r="C112" s="14" t="n"/>
      <c r="D112" s="14" t="n"/>
      <c r="E112" s="14" t="n"/>
      <c r="F112" s="14" t="n"/>
      <c r="G112" s="14" t="n"/>
      <c r="H112" s="15" t="n"/>
      <c r="I112" s="15" t="n"/>
      <c r="J112" s="14" t="n"/>
      <c r="K112" s="16">
        <f>IFERROR(VLOOKUP(A112,Precios!$A$5:$C$14,2,FALSE()),"")</f>
        <v/>
      </c>
      <c r="L112" s="16">
        <f>IFERROR(VLOOKUP(A112,Precios!$A$5:$C$14,3,FALSE()),"")</f>
        <v/>
      </c>
      <c r="M112" s="16">
        <f>IF(AND(K112&lt;&gt;"",L112&lt;&gt;""),L112-K112,"")</f>
        <v/>
      </c>
      <c r="N112" s="14">
        <f>IF(AND(H112&lt;&gt;"",I112&lt;&gt;""),I112-H112,"")</f>
        <v/>
      </c>
      <c r="O112" s="14">
        <f>IF(I112&lt;&gt;"",I112-TODAY(),"")</f>
        <v/>
      </c>
      <c r="P112" s="15">
        <f>IF(I112="","",IF(J112="Anual",I112+365,I112+30))</f>
        <v/>
      </c>
      <c r="Q112" s="14">
        <f>IF(I112="","",IF(O112&lt;0,"Vencida",IF(O112&lt;=3,"Por vencer","Activa")))</f>
        <v/>
      </c>
      <c r="R112" s="14" t="n"/>
      <c r="S112" s="14">
        <f>IF(OR(E112="",I112=""),"",HYPERLINK(IF(F112&lt;&gt;"","https://wa.me/"&amp;SUBSTITUTE(SUBSTITUTE(SUBSTITUTE(F112,"+",""),"-","")," ","")&amp;"?text="&amp;SUBSTITUTE(SUBSTITUTE("Hola "&amp;E112&amp;", tu cuenta de "&amp;A112&amp;" vence el "&amp;TEXT(I112,"dd/mm/yyyy")&amp;". Deseas renovarla?"," ","%20"),"?","%3F"),"https://api.whatsapp.com/send?text="&amp;SUBSTITUTE(SUBSTITUTE("Hola "&amp;E112&amp;", tu cuenta de "&amp;A112&amp;" vence el "&amp;TEXT(I112,"dd/mm/yyyy")&amp;". Deseas renovarla?"," ","%20"),"?","%3F")),"Enviar recordatorio"))</f>
        <v/>
      </c>
      <c r="T112" s="14" t="n"/>
    </row>
    <row r="113" ht="15" customHeight="1" s="28">
      <c r="A113" s="14" t="n"/>
      <c r="B113" s="14" t="n"/>
      <c r="C113" s="14" t="n"/>
      <c r="D113" s="14" t="n"/>
      <c r="E113" s="14" t="n"/>
      <c r="F113" s="14" t="n"/>
      <c r="G113" s="14" t="n"/>
      <c r="H113" s="15" t="n"/>
      <c r="I113" s="15" t="n"/>
      <c r="J113" s="14" t="n"/>
      <c r="K113" s="16">
        <f>IFERROR(VLOOKUP(A113,Precios!$A$5:$C$14,2,FALSE()),"")</f>
        <v/>
      </c>
      <c r="L113" s="16">
        <f>IFERROR(VLOOKUP(A113,Precios!$A$5:$C$14,3,FALSE()),"")</f>
        <v/>
      </c>
      <c r="M113" s="16">
        <f>IF(AND(K113&lt;&gt;"",L113&lt;&gt;""),L113-K113,"")</f>
        <v/>
      </c>
      <c r="N113" s="14">
        <f>IF(AND(H113&lt;&gt;"",I113&lt;&gt;""),I113-H113,"")</f>
        <v/>
      </c>
      <c r="O113" s="14">
        <f>IF(I113&lt;&gt;"",I113-TODAY(),"")</f>
        <v/>
      </c>
      <c r="P113" s="15">
        <f>IF(I113="","",IF(J113="Anual",I113+365,I113+30))</f>
        <v/>
      </c>
      <c r="Q113" s="14">
        <f>IF(I113="","",IF(O113&lt;0,"Vencida",IF(O113&lt;=3,"Por vencer","Activa")))</f>
        <v/>
      </c>
      <c r="R113" s="14" t="n"/>
      <c r="S113" s="14">
        <f>IF(OR(E113="",I113=""),"",HYPERLINK(IF(F113&lt;&gt;"","https://wa.me/"&amp;SUBSTITUTE(SUBSTITUTE(SUBSTITUTE(F113,"+",""),"-","")," ","")&amp;"?text="&amp;SUBSTITUTE(SUBSTITUTE("Hola "&amp;E113&amp;", tu cuenta de "&amp;A113&amp;" vence el "&amp;TEXT(I113,"dd/mm/yyyy")&amp;". Deseas renovarla?"," ","%20"),"?","%3F"),"https://api.whatsapp.com/send?text="&amp;SUBSTITUTE(SUBSTITUTE("Hola "&amp;E113&amp;", tu cuenta de "&amp;A113&amp;" vence el "&amp;TEXT(I113,"dd/mm/yyyy")&amp;". Deseas renovarla?"," ","%20"),"?","%3F")),"Enviar recordatorio"))</f>
        <v/>
      </c>
      <c r="T113" s="14" t="n"/>
    </row>
    <row r="114" ht="15" customHeight="1" s="28">
      <c r="A114" s="14" t="n"/>
      <c r="B114" s="14" t="n"/>
      <c r="C114" s="14" t="n"/>
      <c r="D114" s="14" t="n"/>
      <c r="E114" s="14" t="n"/>
      <c r="F114" s="14" t="n"/>
      <c r="G114" s="14" t="n"/>
      <c r="H114" s="15" t="n"/>
      <c r="I114" s="15" t="n"/>
      <c r="J114" s="14" t="n"/>
      <c r="K114" s="16">
        <f>IFERROR(VLOOKUP(A114,Precios!$A$5:$C$14,2,FALSE()),"")</f>
        <v/>
      </c>
      <c r="L114" s="16">
        <f>IFERROR(VLOOKUP(A114,Precios!$A$5:$C$14,3,FALSE()),"")</f>
        <v/>
      </c>
      <c r="M114" s="16">
        <f>IF(AND(K114&lt;&gt;"",L114&lt;&gt;""),L114-K114,"")</f>
        <v/>
      </c>
      <c r="N114" s="14">
        <f>IF(AND(H114&lt;&gt;"",I114&lt;&gt;""),I114-H114,"")</f>
        <v/>
      </c>
      <c r="O114" s="14">
        <f>IF(I114&lt;&gt;"",I114-TODAY(),"")</f>
        <v/>
      </c>
      <c r="P114" s="15">
        <f>IF(I114="","",IF(J114="Anual",I114+365,I114+30))</f>
        <v/>
      </c>
      <c r="Q114" s="14">
        <f>IF(I114="","",IF(O114&lt;0,"Vencida",IF(O114&lt;=3,"Por vencer","Activa")))</f>
        <v/>
      </c>
      <c r="R114" s="14" t="n"/>
      <c r="S114" s="14">
        <f>IF(OR(E114="",I114=""),"",HYPERLINK(IF(F114&lt;&gt;"","https://wa.me/"&amp;SUBSTITUTE(SUBSTITUTE(SUBSTITUTE(F114,"+",""),"-","")," ","")&amp;"?text="&amp;SUBSTITUTE(SUBSTITUTE("Hola "&amp;E114&amp;", tu cuenta de "&amp;A114&amp;" vence el "&amp;TEXT(I114,"dd/mm/yyyy")&amp;". Deseas renovarla?"," ","%20"),"?","%3F"),"https://api.whatsapp.com/send?text="&amp;SUBSTITUTE(SUBSTITUTE("Hola "&amp;E114&amp;", tu cuenta de "&amp;A114&amp;" vence el "&amp;TEXT(I114,"dd/mm/yyyy")&amp;". Deseas renovarla?"," ","%20"),"?","%3F")),"Enviar recordatorio"))</f>
        <v/>
      </c>
      <c r="T114" s="14" t="n"/>
    </row>
    <row r="115" ht="15" customHeight="1" s="28">
      <c r="A115" s="14" t="n"/>
      <c r="B115" s="14" t="n"/>
      <c r="C115" s="14" t="n"/>
      <c r="D115" s="14" t="n"/>
      <c r="E115" s="14" t="n"/>
      <c r="F115" s="14" t="n"/>
      <c r="G115" s="14" t="n"/>
      <c r="H115" s="15" t="n"/>
      <c r="I115" s="15" t="n"/>
      <c r="J115" s="14" t="n"/>
      <c r="K115" s="16">
        <f>IFERROR(VLOOKUP(A115,Precios!$A$5:$C$14,2,FALSE()),"")</f>
        <v/>
      </c>
      <c r="L115" s="16">
        <f>IFERROR(VLOOKUP(A115,Precios!$A$5:$C$14,3,FALSE()),"")</f>
        <v/>
      </c>
      <c r="M115" s="16">
        <f>IF(AND(K115&lt;&gt;"",L115&lt;&gt;""),L115-K115,"")</f>
        <v/>
      </c>
      <c r="N115" s="14">
        <f>IF(AND(H115&lt;&gt;"",I115&lt;&gt;""),I115-H115,"")</f>
        <v/>
      </c>
      <c r="O115" s="14">
        <f>IF(I115&lt;&gt;"",I115-TODAY(),"")</f>
        <v/>
      </c>
      <c r="P115" s="15">
        <f>IF(I115="","",IF(J115="Anual",I115+365,I115+30))</f>
        <v/>
      </c>
      <c r="Q115" s="14">
        <f>IF(I115="","",IF(O115&lt;0,"Vencida",IF(O115&lt;=3,"Por vencer","Activa")))</f>
        <v/>
      </c>
      <c r="R115" s="14" t="n"/>
      <c r="S115" s="14">
        <f>IF(OR(E115="",I115=""),"",HYPERLINK(IF(F115&lt;&gt;"","https://wa.me/"&amp;SUBSTITUTE(SUBSTITUTE(SUBSTITUTE(F115,"+",""),"-","")," ","")&amp;"?text="&amp;SUBSTITUTE(SUBSTITUTE("Hola "&amp;E115&amp;", tu cuenta de "&amp;A115&amp;" vence el "&amp;TEXT(I115,"dd/mm/yyyy")&amp;". Deseas renovarla?"," ","%20"),"?","%3F"),"https://api.whatsapp.com/send?text="&amp;SUBSTITUTE(SUBSTITUTE("Hola "&amp;E115&amp;", tu cuenta de "&amp;A115&amp;" vence el "&amp;TEXT(I115,"dd/mm/yyyy")&amp;". Deseas renovarla?"," ","%20"),"?","%3F")),"Enviar recordatorio"))</f>
        <v/>
      </c>
      <c r="T115" s="14" t="n"/>
    </row>
    <row r="116" ht="15" customHeight="1" s="28">
      <c r="A116" s="14" t="n"/>
      <c r="B116" s="14" t="n"/>
      <c r="C116" s="14" t="n"/>
      <c r="D116" s="14" t="n"/>
      <c r="E116" s="14" t="n"/>
      <c r="F116" s="14" t="n"/>
      <c r="G116" s="14" t="n"/>
      <c r="H116" s="15" t="n"/>
      <c r="I116" s="15" t="n"/>
      <c r="J116" s="14" t="n"/>
      <c r="K116" s="16">
        <f>IFERROR(VLOOKUP(A116,Precios!$A$5:$C$14,2,FALSE()),"")</f>
        <v/>
      </c>
      <c r="L116" s="16">
        <f>IFERROR(VLOOKUP(A116,Precios!$A$5:$C$14,3,FALSE()),"")</f>
        <v/>
      </c>
      <c r="M116" s="16">
        <f>IF(AND(K116&lt;&gt;"",L116&lt;&gt;""),L116-K116,"")</f>
        <v/>
      </c>
      <c r="N116" s="14">
        <f>IF(AND(H116&lt;&gt;"",I116&lt;&gt;""),I116-H116,"")</f>
        <v/>
      </c>
      <c r="O116" s="14">
        <f>IF(I116&lt;&gt;"",I116-TODAY(),"")</f>
        <v/>
      </c>
      <c r="P116" s="15">
        <f>IF(I116="","",IF(J116="Anual",I116+365,I116+30))</f>
        <v/>
      </c>
      <c r="Q116" s="14">
        <f>IF(I116="","",IF(O116&lt;0,"Vencida",IF(O116&lt;=3,"Por vencer","Activa")))</f>
        <v/>
      </c>
      <c r="R116" s="14" t="n"/>
      <c r="S116" s="14">
        <f>IF(OR(E116="",I116=""),"",HYPERLINK(IF(F116&lt;&gt;"","https://wa.me/"&amp;SUBSTITUTE(SUBSTITUTE(SUBSTITUTE(F116,"+",""),"-","")," ","")&amp;"?text="&amp;SUBSTITUTE(SUBSTITUTE("Hola "&amp;E116&amp;", tu cuenta de "&amp;A116&amp;" vence el "&amp;TEXT(I116,"dd/mm/yyyy")&amp;". Deseas renovarla?"," ","%20"),"?","%3F"),"https://api.whatsapp.com/send?text="&amp;SUBSTITUTE(SUBSTITUTE("Hola "&amp;E116&amp;", tu cuenta de "&amp;A116&amp;" vence el "&amp;TEXT(I116,"dd/mm/yyyy")&amp;". Deseas renovarla?"," ","%20"),"?","%3F")),"Enviar recordatorio"))</f>
        <v/>
      </c>
      <c r="T116" s="14" t="n"/>
    </row>
    <row r="117" ht="15" customHeight="1" s="28">
      <c r="A117" s="14" t="n"/>
      <c r="B117" s="14" t="n"/>
      <c r="C117" s="14" t="n"/>
      <c r="D117" s="14" t="n"/>
      <c r="E117" s="14" t="n"/>
      <c r="F117" s="14" t="n"/>
      <c r="G117" s="14" t="n"/>
      <c r="H117" s="15" t="n"/>
      <c r="I117" s="15" t="n"/>
      <c r="J117" s="14" t="n"/>
      <c r="K117" s="16">
        <f>IFERROR(VLOOKUP(A117,Precios!$A$5:$C$14,2,FALSE()),"")</f>
        <v/>
      </c>
      <c r="L117" s="16">
        <f>IFERROR(VLOOKUP(A117,Precios!$A$5:$C$14,3,FALSE()),"")</f>
        <v/>
      </c>
      <c r="M117" s="16">
        <f>IF(AND(K117&lt;&gt;"",L117&lt;&gt;""),L117-K117,"")</f>
        <v/>
      </c>
      <c r="N117" s="14">
        <f>IF(AND(H117&lt;&gt;"",I117&lt;&gt;""),I117-H117,"")</f>
        <v/>
      </c>
      <c r="O117" s="14">
        <f>IF(I117&lt;&gt;"",I117-TODAY(),"")</f>
        <v/>
      </c>
      <c r="P117" s="15">
        <f>IF(I117="","",IF(J117="Anual",I117+365,I117+30))</f>
        <v/>
      </c>
      <c r="Q117" s="14">
        <f>IF(I117="","",IF(O117&lt;0,"Vencida",IF(O117&lt;=3,"Por vencer","Activa")))</f>
        <v/>
      </c>
      <c r="R117" s="14" t="n"/>
      <c r="S117" s="14">
        <f>IF(OR(E117="",I117=""),"",HYPERLINK(IF(F117&lt;&gt;"","https://wa.me/"&amp;SUBSTITUTE(SUBSTITUTE(SUBSTITUTE(F117,"+",""),"-","")," ","")&amp;"?text="&amp;SUBSTITUTE(SUBSTITUTE("Hola "&amp;E117&amp;", tu cuenta de "&amp;A117&amp;" vence el "&amp;TEXT(I117,"dd/mm/yyyy")&amp;". Deseas renovarla?"," ","%20"),"?","%3F"),"https://api.whatsapp.com/send?text="&amp;SUBSTITUTE(SUBSTITUTE("Hola "&amp;E117&amp;", tu cuenta de "&amp;A117&amp;" vence el "&amp;TEXT(I117,"dd/mm/yyyy")&amp;". Deseas renovarla?"," ","%20"),"?","%3F")),"Enviar recordatorio"))</f>
        <v/>
      </c>
      <c r="T117" s="14" t="n"/>
    </row>
    <row r="118" ht="15" customHeight="1" s="28">
      <c r="A118" s="14" t="n"/>
      <c r="B118" s="14" t="n"/>
      <c r="C118" s="14" t="n"/>
      <c r="D118" s="14" t="n"/>
      <c r="E118" s="14" t="n"/>
      <c r="F118" s="14" t="n"/>
      <c r="G118" s="14" t="n"/>
      <c r="H118" s="15" t="n"/>
      <c r="I118" s="15" t="n"/>
      <c r="J118" s="14" t="n"/>
      <c r="K118" s="16">
        <f>IFERROR(VLOOKUP(A118,Precios!$A$5:$C$14,2,FALSE()),"")</f>
        <v/>
      </c>
      <c r="L118" s="16">
        <f>IFERROR(VLOOKUP(A118,Precios!$A$5:$C$14,3,FALSE()),"")</f>
        <v/>
      </c>
      <c r="M118" s="16">
        <f>IF(AND(K118&lt;&gt;"",L118&lt;&gt;""),L118-K118,"")</f>
        <v/>
      </c>
      <c r="N118" s="14">
        <f>IF(AND(H118&lt;&gt;"",I118&lt;&gt;""),I118-H118,"")</f>
        <v/>
      </c>
      <c r="O118" s="14">
        <f>IF(I118&lt;&gt;"",I118-TODAY(),"")</f>
        <v/>
      </c>
      <c r="P118" s="15">
        <f>IF(I118="","",IF(J118="Anual",I118+365,I118+30))</f>
        <v/>
      </c>
      <c r="Q118" s="14">
        <f>IF(I118="","",IF(O118&lt;0,"Vencida",IF(O118&lt;=3,"Por vencer","Activa")))</f>
        <v/>
      </c>
      <c r="R118" s="14" t="n"/>
      <c r="S118" s="14">
        <f>IF(OR(E118="",I118=""),"",HYPERLINK(IF(F118&lt;&gt;"","https://wa.me/"&amp;SUBSTITUTE(SUBSTITUTE(SUBSTITUTE(F118,"+",""),"-","")," ","")&amp;"?text="&amp;SUBSTITUTE(SUBSTITUTE("Hola "&amp;E118&amp;", tu cuenta de "&amp;A118&amp;" vence el "&amp;TEXT(I118,"dd/mm/yyyy")&amp;". Deseas renovarla?"," ","%20"),"?","%3F"),"https://api.whatsapp.com/send?text="&amp;SUBSTITUTE(SUBSTITUTE("Hola "&amp;E118&amp;", tu cuenta de "&amp;A118&amp;" vence el "&amp;TEXT(I118,"dd/mm/yyyy")&amp;". Deseas renovarla?"," ","%20"),"?","%3F")),"Enviar recordatorio"))</f>
        <v/>
      </c>
      <c r="T118" s="14" t="n"/>
    </row>
    <row r="119" ht="15" customHeight="1" s="28">
      <c r="A119" s="14" t="n"/>
      <c r="B119" s="14" t="n"/>
      <c r="C119" s="14" t="n"/>
      <c r="D119" s="14" t="n"/>
      <c r="E119" s="14" t="n"/>
      <c r="F119" s="14" t="n"/>
      <c r="G119" s="14" t="n"/>
      <c r="H119" s="15" t="n"/>
      <c r="I119" s="15" t="n"/>
      <c r="J119" s="14" t="n"/>
      <c r="K119" s="16">
        <f>IFERROR(VLOOKUP(A119,Precios!$A$5:$C$14,2,FALSE()),"")</f>
        <v/>
      </c>
      <c r="L119" s="16">
        <f>IFERROR(VLOOKUP(A119,Precios!$A$5:$C$14,3,FALSE()),"")</f>
        <v/>
      </c>
      <c r="M119" s="16">
        <f>IF(AND(K119&lt;&gt;"",L119&lt;&gt;""),L119-K119,"")</f>
        <v/>
      </c>
      <c r="N119" s="14">
        <f>IF(AND(H119&lt;&gt;"",I119&lt;&gt;""),I119-H119,"")</f>
        <v/>
      </c>
      <c r="O119" s="14">
        <f>IF(I119&lt;&gt;"",I119-TODAY(),"")</f>
        <v/>
      </c>
      <c r="P119" s="15">
        <f>IF(I119="","",IF(J119="Anual",I119+365,I119+30))</f>
        <v/>
      </c>
      <c r="Q119" s="14">
        <f>IF(I119="","",IF(O119&lt;0,"Vencida",IF(O119&lt;=3,"Por vencer","Activa")))</f>
        <v/>
      </c>
      <c r="R119" s="14" t="n"/>
      <c r="S119" s="14">
        <f>IF(OR(E119="",I119=""),"",HYPERLINK(IF(F119&lt;&gt;"","https://wa.me/"&amp;SUBSTITUTE(SUBSTITUTE(SUBSTITUTE(F119,"+",""),"-","")," ","")&amp;"?text="&amp;SUBSTITUTE(SUBSTITUTE("Hola "&amp;E119&amp;", tu cuenta de "&amp;A119&amp;" vence el "&amp;TEXT(I119,"dd/mm/yyyy")&amp;". Deseas renovarla?"," ","%20"),"?","%3F"),"https://api.whatsapp.com/send?text="&amp;SUBSTITUTE(SUBSTITUTE("Hola "&amp;E119&amp;", tu cuenta de "&amp;A119&amp;" vence el "&amp;TEXT(I119,"dd/mm/yyyy")&amp;". Deseas renovarla?"," ","%20"),"?","%3F")),"Enviar recordatorio"))</f>
        <v/>
      </c>
      <c r="T119" s="14" t="n"/>
    </row>
    <row r="120" ht="15" customHeight="1" s="28">
      <c r="A120" s="14" t="n"/>
      <c r="B120" s="14" t="n"/>
      <c r="C120" s="14" t="n"/>
      <c r="D120" s="14" t="n"/>
      <c r="E120" s="14" t="n"/>
      <c r="F120" s="14" t="n"/>
      <c r="G120" s="14" t="n"/>
      <c r="H120" s="15" t="n"/>
      <c r="I120" s="15" t="n"/>
      <c r="J120" s="14" t="n"/>
      <c r="K120" s="16">
        <f>IFERROR(VLOOKUP(A120,Precios!$A$5:$C$14,2,FALSE()),"")</f>
        <v/>
      </c>
      <c r="L120" s="16">
        <f>IFERROR(VLOOKUP(A120,Precios!$A$5:$C$14,3,FALSE()),"")</f>
        <v/>
      </c>
      <c r="M120" s="16">
        <f>IF(AND(K120&lt;&gt;"",L120&lt;&gt;""),L120-K120,"")</f>
        <v/>
      </c>
      <c r="N120" s="14">
        <f>IF(AND(H120&lt;&gt;"",I120&lt;&gt;""),I120-H120,"")</f>
        <v/>
      </c>
      <c r="O120" s="14">
        <f>IF(I120&lt;&gt;"",I120-TODAY(),"")</f>
        <v/>
      </c>
      <c r="P120" s="15">
        <f>IF(I120="","",IF(J120="Anual",I120+365,I120+30))</f>
        <v/>
      </c>
      <c r="Q120" s="14">
        <f>IF(I120="","",IF(O120&lt;0,"Vencida",IF(O120&lt;=3,"Por vencer","Activa")))</f>
        <v/>
      </c>
      <c r="R120" s="14" t="n"/>
      <c r="S120" s="14">
        <f>IF(OR(E120="",I120=""),"",HYPERLINK(IF(F120&lt;&gt;"","https://wa.me/"&amp;SUBSTITUTE(SUBSTITUTE(SUBSTITUTE(F120,"+",""),"-","")," ","")&amp;"?text="&amp;SUBSTITUTE(SUBSTITUTE("Hola "&amp;E120&amp;", tu cuenta de "&amp;A120&amp;" vence el "&amp;TEXT(I120,"dd/mm/yyyy")&amp;". Deseas renovarla?"," ","%20"),"?","%3F"),"https://api.whatsapp.com/send?text="&amp;SUBSTITUTE(SUBSTITUTE("Hola "&amp;E120&amp;", tu cuenta de "&amp;A120&amp;" vence el "&amp;TEXT(I120,"dd/mm/yyyy")&amp;". Deseas renovarla?"," ","%20"),"?","%3F")),"Enviar recordatorio"))</f>
        <v/>
      </c>
      <c r="T120" s="14" t="n"/>
    </row>
    <row r="121" ht="15" customHeight="1" s="28">
      <c r="A121" s="14" t="n"/>
      <c r="B121" s="14" t="n"/>
      <c r="C121" s="14" t="n"/>
      <c r="D121" s="14" t="n"/>
      <c r="E121" s="14" t="n"/>
      <c r="F121" s="14" t="n"/>
      <c r="G121" s="14" t="n"/>
      <c r="H121" s="15" t="n"/>
      <c r="I121" s="15" t="n"/>
      <c r="J121" s="14" t="n"/>
      <c r="K121" s="16">
        <f>IFERROR(VLOOKUP(A121,Precios!$A$5:$C$14,2,FALSE()),"")</f>
        <v/>
      </c>
      <c r="L121" s="16">
        <f>IFERROR(VLOOKUP(A121,Precios!$A$5:$C$14,3,FALSE()),"")</f>
        <v/>
      </c>
      <c r="M121" s="16">
        <f>IF(AND(K121&lt;&gt;"",L121&lt;&gt;""),L121-K121,"")</f>
        <v/>
      </c>
      <c r="N121" s="14">
        <f>IF(AND(H121&lt;&gt;"",I121&lt;&gt;""),I121-H121,"")</f>
        <v/>
      </c>
      <c r="O121" s="14">
        <f>IF(I121&lt;&gt;"",I121-TODAY(),"")</f>
        <v/>
      </c>
      <c r="P121" s="15">
        <f>IF(I121="","",IF(J121="Anual",I121+365,I121+30))</f>
        <v/>
      </c>
      <c r="Q121" s="14">
        <f>IF(I121="","",IF(O121&lt;0,"Vencida",IF(O121&lt;=3,"Por vencer","Activa")))</f>
        <v/>
      </c>
      <c r="R121" s="14" t="n"/>
      <c r="S121" s="14">
        <f>IF(OR(E121="",I121=""),"",HYPERLINK(IF(F121&lt;&gt;"","https://wa.me/"&amp;SUBSTITUTE(SUBSTITUTE(SUBSTITUTE(F121,"+",""),"-","")," ","")&amp;"?text="&amp;SUBSTITUTE(SUBSTITUTE("Hola "&amp;E121&amp;", tu cuenta de "&amp;A121&amp;" vence el "&amp;TEXT(I121,"dd/mm/yyyy")&amp;". Deseas renovarla?"," ","%20"),"?","%3F"),"https://api.whatsapp.com/send?text="&amp;SUBSTITUTE(SUBSTITUTE("Hola "&amp;E121&amp;", tu cuenta de "&amp;A121&amp;" vence el "&amp;TEXT(I121,"dd/mm/yyyy")&amp;". Deseas renovarla?"," ","%20"),"?","%3F")),"Enviar recordatorio"))</f>
        <v/>
      </c>
      <c r="T121" s="14" t="n"/>
    </row>
    <row r="122" ht="15" customHeight="1" s="28">
      <c r="A122" s="14" t="n"/>
      <c r="B122" s="14" t="n"/>
      <c r="C122" s="14" t="n"/>
      <c r="D122" s="14" t="n"/>
      <c r="E122" s="14" t="n"/>
      <c r="F122" s="14" t="n"/>
      <c r="G122" s="14" t="n"/>
      <c r="H122" s="15" t="n"/>
      <c r="I122" s="15" t="n"/>
      <c r="J122" s="14" t="n"/>
      <c r="K122" s="16">
        <f>IFERROR(VLOOKUP(A122,Precios!$A$5:$C$14,2,FALSE()),"")</f>
        <v/>
      </c>
      <c r="L122" s="16">
        <f>IFERROR(VLOOKUP(A122,Precios!$A$5:$C$14,3,FALSE()),"")</f>
        <v/>
      </c>
      <c r="M122" s="16">
        <f>IF(AND(K122&lt;&gt;"",L122&lt;&gt;""),L122-K122,"")</f>
        <v/>
      </c>
      <c r="N122" s="14">
        <f>IF(AND(H122&lt;&gt;"",I122&lt;&gt;""),I122-H122,"")</f>
        <v/>
      </c>
      <c r="O122" s="14">
        <f>IF(I122&lt;&gt;"",I122-TODAY(),"")</f>
        <v/>
      </c>
      <c r="P122" s="15">
        <f>IF(I122="","",IF(J122="Anual",I122+365,I122+30))</f>
        <v/>
      </c>
      <c r="Q122" s="14">
        <f>IF(I122="","",IF(O122&lt;0,"Vencida",IF(O122&lt;=3,"Por vencer","Activa")))</f>
        <v/>
      </c>
      <c r="R122" s="14" t="n"/>
      <c r="S122" s="14">
        <f>IF(OR(E122="",I122=""),"",HYPERLINK(IF(F122&lt;&gt;"","https://wa.me/"&amp;SUBSTITUTE(SUBSTITUTE(SUBSTITUTE(F122,"+",""),"-","")," ","")&amp;"?text="&amp;SUBSTITUTE(SUBSTITUTE("Hola "&amp;E122&amp;", tu cuenta de "&amp;A122&amp;" vence el "&amp;TEXT(I122,"dd/mm/yyyy")&amp;". Deseas renovarla?"," ","%20"),"?","%3F"),"https://api.whatsapp.com/send?text="&amp;SUBSTITUTE(SUBSTITUTE("Hola "&amp;E122&amp;", tu cuenta de "&amp;A122&amp;" vence el "&amp;TEXT(I122,"dd/mm/yyyy")&amp;". Deseas renovarla?"," ","%20"),"?","%3F")),"Enviar recordatorio"))</f>
        <v/>
      </c>
      <c r="T122" s="14" t="n"/>
    </row>
    <row r="123" ht="15" customHeight="1" s="28">
      <c r="A123" s="14" t="n"/>
      <c r="B123" s="14" t="n"/>
      <c r="C123" s="14" t="n"/>
      <c r="D123" s="14" t="n"/>
      <c r="E123" s="14" t="n"/>
      <c r="F123" s="14" t="n"/>
      <c r="G123" s="14" t="n"/>
      <c r="H123" s="15" t="n"/>
      <c r="I123" s="15" t="n"/>
      <c r="J123" s="14" t="n"/>
      <c r="K123" s="16">
        <f>IFERROR(VLOOKUP(A123,Precios!$A$5:$C$14,2,FALSE()),"")</f>
        <v/>
      </c>
      <c r="L123" s="16">
        <f>IFERROR(VLOOKUP(A123,Precios!$A$5:$C$14,3,FALSE()),"")</f>
        <v/>
      </c>
      <c r="M123" s="16">
        <f>IF(AND(K123&lt;&gt;"",L123&lt;&gt;""),L123-K123,"")</f>
        <v/>
      </c>
      <c r="N123" s="14">
        <f>IF(AND(H123&lt;&gt;"",I123&lt;&gt;""),I123-H123,"")</f>
        <v/>
      </c>
      <c r="O123" s="14">
        <f>IF(I123&lt;&gt;"",I123-TODAY(),"")</f>
        <v/>
      </c>
      <c r="P123" s="15">
        <f>IF(I123="","",IF(J123="Anual",I123+365,I123+30))</f>
        <v/>
      </c>
      <c r="Q123" s="14">
        <f>IF(I123="","",IF(O123&lt;0,"Vencida",IF(O123&lt;=3,"Por vencer","Activa")))</f>
        <v/>
      </c>
      <c r="R123" s="14" t="n"/>
      <c r="S123" s="14">
        <f>IF(OR(E123="",I123=""),"",HYPERLINK(IF(F123&lt;&gt;"","https://wa.me/"&amp;SUBSTITUTE(SUBSTITUTE(SUBSTITUTE(F123,"+",""),"-","")," ","")&amp;"?text="&amp;SUBSTITUTE(SUBSTITUTE("Hola "&amp;E123&amp;", tu cuenta de "&amp;A123&amp;" vence el "&amp;TEXT(I123,"dd/mm/yyyy")&amp;". Deseas renovarla?"," ","%20"),"?","%3F"),"https://api.whatsapp.com/send?text="&amp;SUBSTITUTE(SUBSTITUTE("Hola "&amp;E123&amp;", tu cuenta de "&amp;A123&amp;" vence el "&amp;TEXT(I123,"dd/mm/yyyy")&amp;". Deseas renovarla?"," ","%20"),"?","%3F")),"Enviar recordatorio"))</f>
        <v/>
      </c>
      <c r="T123" s="14" t="n"/>
    </row>
    <row r="124" ht="15" customHeight="1" s="28">
      <c r="A124" s="14" t="n"/>
      <c r="B124" s="14" t="n"/>
      <c r="C124" s="14" t="n"/>
      <c r="D124" s="14" t="n"/>
      <c r="E124" s="14" t="n"/>
      <c r="F124" s="14" t="n"/>
      <c r="G124" s="14" t="n"/>
      <c r="H124" s="15" t="n"/>
      <c r="I124" s="15" t="n"/>
      <c r="J124" s="14" t="n"/>
      <c r="K124" s="16">
        <f>IFERROR(VLOOKUP(A124,Precios!$A$5:$C$14,2,FALSE()),"")</f>
        <v/>
      </c>
      <c r="L124" s="16">
        <f>IFERROR(VLOOKUP(A124,Precios!$A$5:$C$14,3,FALSE()),"")</f>
        <v/>
      </c>
      <c r="M124" s="16">
        <f>IF(AND(K124&lt;&gt;"",L124&lt;&gt;""),L124-K124,"")</f>
        <v/>
      </c>
      <c r="N124" s="14">
        <f>IF(AND(H124&lt;&gt;"",I124&lt;&gt;""),I124-H124,"")</f>
        <v/>
      </c>
      <c r="O124" s="14">
        <f>IF(I124&lt;&gt;"",I124-TODAY(),"")</f>
        <v/>
      </c>
      <c r="P124" s="15">
        <f>IF(I124="","",IF(J124="Anual",I124+365,I124+30))</f>
        <v/>
      </c>
      <c r="Q124" s="14">
        <f>IF(I124="","",IF(O124&lt;0,"Vencida",IF(O124&lt;=3,"Por vencer","Activa")))</f>
        <v/>
      </c>
      <c r="R124" s="14" t="n"/>
      <c r="S124" s="14">
        <f>IF(OR(E124="",I124=""),"",HYPERLINK(IF(F124&lt;&gt;"","https://wa.me/"&amp;SUBSTITUTE(SUBSTITUTE(SUBSTITUTE(F124,"+",""),"-","")," ","")&amp;"?text="&amp;SUBSTITUTE(SUBSTITUTE("Hola "&amp;E124&amp;", tu cuenta de "&amp;A124&amp;" vence el "&amp;TEXT(I124,"dd/mm/yyyy")&amp;". Deseas renovarla?"," ","%20"),"?","%3F"),"https://api.whatsapp.com/send?text="&amp;SUBSTITUTE(SUBSTITUTE("Hola "&amp;E124&amp;", tu cuenta de "&amp;A124&amp;" vence el "&amp;TEXT(I124,"dd/mm/yyyy")&amp;". Deseas renovarla?"," ","%20"),"?","%3F")),"Enviar recordatorio"))</f>
        <v/>
      </c>
      <c r="T124" s="14" t="n"/>
    </row>
    <row r="125" ht="15" customHeight="1" s="28">
      <c r="A125" s="14" t="n"/>
      <c r="B125" s="14" t="n"/>
      <c r="C125" s="14" t="n"/>
      <c r="D125" s="14" t="n"/>
      <c r="E125" s="14" t="n"/>
      <c r="F125" s="14" t="n"/>
      <c r="G125" s="14" t="n"/>
      <c r="H125" s="15" t="n"/>
      <c r="I125" s="15" t="n"/>
      <c r="J125" s="14" t="n"/>
      <c r="K125" s="16">
        <f>IFERROR(VLOOKUP(A125,Precios!$A$5:$C$14,2,FALSE()),"")</f>
        <v/>
      </c>
      <c r="L125" s="16">
        <f>IFERROR(VLOOKUP(A125,Precios!$A$5:$C$14,3,FALSE()),"")</f>
        <v/>
      </c>
      <c r="M125" s="16">
        <f>IF(AND(K125&lt;&gt;"",L125&lt;&gt;""),L125-K125,"")</f>
        <v/>
      </c>
      <c r="N125" s="14">
        <f>IF(AND(H125&lt;&gt;"",I125&lt;&gt;""),I125-H125,"")</f>
        <v/>
      </c>
      <c r="O125" s="14">
        <f>IF(I125&lt;&gt;"",I125-TODAY(),"")</f>
        <v/>
      </c>
      <c r="P125" s="15">
        <f>IF(I125="","",IF(J125="Anual",I125+365,I125+30))</f>
        <v/>
      </c>
      <c r="Q125" s="14">
        <f>IF(I125="","",IF(O125&lt;0,"Vencida",IF(O125&lt;=3,"Por vencer","Activa")))</f>
        <v/>
      </c>
      <c r="R125" s="14" t="n"/>
      <c r="S125" s="14">
        <f>IF(OR(E125="",I125=""),"",HYPERLINK(IF(F125&lt;&gt;"","https://wa.me/"&amp;SUBSTITUTE(SUBSTITUTE(SUBSTITUTE(F125,"+",""),"-","")," ","")&amp;"?text="&amp;SUBSTITUTE(SUBSTITUTE("Hola "&amp;E125&amp;", tu cuenta de "&amp;A125&amp;" vence el "&amp;TEXT(I125,"dd/mm/yyyy")&amp;". Deseas renovarla?"," ","%20"),"?","%3F"),"https://api.whatsapp.com/send?text="&amp;SUBSTITUTE(SUBSTITUTE("Hola "&amp;E125&amp;", tu cuenta de "&amp;A125&amp;" vence el "&amp;TEXT(I125,"dd/mm/yyyy")&amp;". Deseas renovarla?"," ","%20"),"?","%3F")),"Enviar recordatorio"))</f>
        <v/>
      </c>
      <c r="T125" s="14" t="n"/>
    </row>
    <row r="126" ht="15" customHeight="1" s="28">
      <c r="A126" s="14" t="n"/>
      <c r="B126" s="14" t="n"/>
      <c r="C126" s="14" t="n"/>
      <c r="D126" s="14" t="n"/>
      <c r="E126" s="14" t="n"/>
      <c r="F126" s="14" t="n"/>
      <c r="G126" s="14" t="n"/>
      <c r="H126" s="15" t="n"/>
      <c r="I126" s="15" t="n"/>
      <c r="J126" s="14" t="n"/>
      <c r="K126" s="16">
        <f>IFERROR(VLOOKUP(A126,Precios!$A$5:$C$14,2,FALSE()),"")</f>
        <v/>
      </c>
      <c r="L126" s="16">
        <f>IFERROR(VLOOKUP(A126,Precios!$A$5:$C$14,3,FALSE()),"")</f>
        <v/>
      </c>
      <c r="M126" s="16">
        <f>IF(AND(K126&lt;&gt;"",L126&lt;&gt;""),L126-K126,"")</f>
        <v/>
      </c>
      <c r="N126" s="14">
        <f>IF(AND(H126&lt;&gt;"",I126&lt;&gt;""),I126-H126,"")</f>
        <v/>
      </c>
      <c r="O126" s="14">
        <f>IF(I126&lt;&gt;"",I126-TODAY(),"")</f>
        <v/>
      </c>
      <c r="P126" s="15">
        <f>IF(I126="","",IF(J126="Anual",I126+365,I126+30))</f>
        <v/>
      </c>
      <c r="Q126" s="14">
        <f>IF(I126="","",IF(O126&lt;0,"Vencida",IF(O126&lt;=3,"Por vencer","Activa")))</f>
        <v/>
      </c>
      <c r="R126" s="14" t="n"/>
      <c r="S126" s="14">
        <f>IF(OR(E126="",I126=""),"",HYPERLINK(IF(F126&lt;&gt;"","https://wa.me/"&amp;SUBSTITUTE(SUBSTITUTE(SUBSTITUTE(F126,"+",""),"-","")," ","")&amp;"?text="&amp;SUBSTITUTE(SUBSTITUTE("Hola "&amp;E126&amp;", tu cuenta de "&amp;A126&amp;" vence el "&amp;TEXT(I126,"dd/mm/yyyy")&amp;". Deseas renovarla?"," ","%20"),"?","%3F"),"https://api.whatsapp.com/send?text="&amp;SUBSTITUTE(SUBSTITUTE("Hola "&amp;E126&amp;", tu cuenta de "&amp;A126&amp;" vence el "&amp;TEXT(I126,"dd/mm/yyyy")&amp;". Deseas renovarla?"," ","%20"),"?","%3F")),"Enviar recordatorio"))</f>
        <v/>
      </c>
      <c r="T126" s="14" t="n"/>
    </row>
    <row r="127" ht="15" customHeight="1" s="28">
      <c r="A127" s="14" t="n"/>
      <c r="B127" s="14" t="n"/>
      <c r="C127" s="14" t="n"/>
      <c r="D127" s="14" t="n"/>
      <c r="E127" s="14" t="n"/>
      <c r="F127" s="14" t="n"/>
      <c r="G127" s="14" t="n"/>
      <c r="H127" s="15" t="n"/>
      <c r="I127" s="15" t="n"/>
      <c r="J127" s="14" t="n"/>
      <c r="K127" s="16">
        <f>IFERROR(VLOOKUP(A127,Precios!$A$5:$C$14,2,FALSE()),"")</f>
        <v/>
      </c>
      <c r="L127" s="16">
        <f>IFERROR(VLOOKUP(A127,Precios!$A$5:$C$14,3,FALSE()),"")</f>
        <v/>
      </c>
      <c r="M127" s="16">
        <f>IF(AND(K127&lt;&gt;"",L127&lt;&gt;""),L127-K127,"")</f>
        <v/>
      </c>
      <c r="N127" s="14">
        <f>IF(AND(H127&lt;&gt;"",I127&lt;&gt;""),I127-H127,"")</f>
        <v/>
      </c>
      <c r="O127" s="14">
        <f>IF(I127&lt;&gt;"",I127-TODAY(),"")</f>
        <v/>
      </c>
      <c r="P127" s="15">
        <f>IF(I127="","",IF(J127="Anual",I127+365,I127+30))</f>
        <v/>
      </c>
      <c r="Q127" s="14">
        <f>IF(I127="","",IF(O127&lt;0,"Vencida",IF(O127&lt;=3,"Por vencer","Activa")))</f>
        <v/>
      </c>
      <c r="R127" s="14" t="n"/>
      <c r="S127" s="14">
        <f>IF(OR(E127="",I127=""),"",HYPERLINK(IF(F127&lt;&gt;"","https://wa.me/"&amp;SUBSTITUTE(SUBSTITUTE(SUBSTITUTE(F127,"+",""),"-","")," ","")&amp;"?text="&amp;SUBSTITUTE(SUBSTITUTE("Hola "&amp;E127&amp;", tu cuenta de "&amp;A127&amp;" vence el "&amp;TEXT(I127,"dd/mm/yyyy")&amp;". Deseas renovarla?"," ","%20"),"?","%3F"),"https://api.whatsapp.com/send?text="&amp;SUBSTITUTE(SUBSTITUTE("Hola "&amp;E127&amp;", tu cuenta de "&amp;A127&amp;" vence el "&amp;TEXT(I127,"dd/mm/yyyy")&amp;". Deseas renovarla?"," ","%20"),"?","%3F")),"Enviar recordatorio"))</f>
        <v/>
      </c>
      <c r="T127" s="14" t="n"/>
    </row>
    <row r="128" ht="15" customHeight="1" s="28">
      <c r="A128" s="14" t="n"/>
      <c r="B128" s="14" t="n"/>
      <c r="C128" s="14" t="n"/>
      <c r="D128" s="14" t="n"/>
      <c r="E128" s="14" t="n"/>
      <c r="F128" s="14" t="n"/>
      <c r="G128" s="14" t="n"/>
      <c r="H128" s="15" t="n"/>
      <c r="I128" s="15" t="n"/>
      <c r="J128" s="14" t="n"/>
      <c r="K128" s="16">
        <f>IFERROR(VLOOKUP(A128,Precios!$A$5:$C$14,2,FALSE()),"")</f>
        <v/>
      </c>
      <c r="L128" s="16">
        <f>IFERROR(VLOOKUP(A128,Precios!$A$5:$C$14,3,FALSE()),"")</f>
        <v/>
      </c>
      <c r="M128" s="16">
        <f>IF(AND(K128&lt;&gt;"",L128&lt;&gt;""),L128-K128,"")</f>
        <v/>
      </c>
      <c r="N128" s="14">
        <f>IF(AND(H128&lt;&gt;"",I128&lt;&gt;""),I128-H128,"")</f>
        <v/>
      </c>
      <c r="O128" s="14">
        <f>IF(I128&lt;&gt;"",I128-TODAY(),"")</f>
        <v/>
      </c>
      <c r="P128" s="15">
        <f>IF(I128="","",IF(J128="Anual",I128+365,I128+30))</f>
        <v/>
      </c>
      <c r="Q128" s="14">
        <f>IF(I128="","",IF(O128&lt;0,"Vencida",IF(O128&lt;=3,"Por vencer","Activa")))</f>
        <v/>
      </c>
      <c r="R128" s="14" t="n"/>
      <c r="S128" s="14">
        <f>IF(OR(E128="",I128=""),"",HYPERLINK(IF(F128&lt;&gt;"","https://wa.me/"&amp;SUBSTITUTE(SUBSTITUTE(SUBSTITUTE(F128,"+",""),"-","")," ","")&amp;"?text="&amp;SUBSTITUTE(SUBSTITUTE("Hola "&amp;E128&amp;", tu cuenta de "&amp;A128&amp;" vence el "&amp;TEXT(I128,"dd/mm/yyyy")&amp;". Deseas renovarla?"," ","%20"),"?","%3F"),"https://api.whatsapp.com/send?text="&amp;SUBSTITUTE(SUBSTITUTE("Hola "&amp;E128&amp;", tu cuenta de "&amp;A128&amp;" vence el "&amp;TEXT(I128,"dd/mm/yyyy")&amp;". Deseas renovarla?"," ","%20"),"?","%3F")),"Enviar recordatorio"))</f>
        <v/>
      </c>
      <c r="T128" s="14" t="n"/>
    </row>
    <row r="129" ht="15" customHeight="1" s="28">
      <c r="A129" s="14" t="n"/>
      <c r="B129" s="14" t="n"/>
      <c r="C129" s="14" t="n"/>
      <c r="D129" s="14" t="n"/>
      <c r="E129" s="14" t="n"/>
      <c r="F129" s="14" t="n"/>
      <c r="G129" s="14" t="n"/>
      <c r="H129" s="15" t="n"/>
      <c r="I129" s="15" t="n"/>
      <c r="J129" s="14" t="n"/>
      <c r="K129" s="16">
        <f>IFERROR(VLOOKUP(A129,Precios!$A$5:$C$14,2,FALSE()),"")</f>
        <v/>
      </c>
      <c r="L129" s="16">
        <f>IFERROR(VLOOKUP(A129,Precios!$A$5:$C$14,3,FALSE()),"")</f>
        <v/>
      </c>
      <c r="M129" s="16">
        <f>IF(AND(K129&lt;&gt;"",L129&lt;&gt;""),L129-K129,"")</f>
        <v/>
      </c>
      <c r="N129" s="14">
        <f>IF(AND(H129&lt;&gt;"",I129&lt;&gt;""),I129-H129,"")</f>
        <v/>
      </c>
      <c r="O129" s="14">
        <f>IF(I129&lt;&gt;"",I129-TODAY(),"")</f>
        <v/>
      </c>
      <c r="P129" s="15">
        <f>IF(I129="","",IF(J129="Anual",I129+365,I129+30))</f>
        <v/>
      </c>
      <c r="Q129" s="14">
        <f>IF(I129="","",IF(O129&lt;0,"Vencida",IF(O129&lt;=3,"Por vencer","Activa")))</f>
        <v/>
      </c>
      <c r="R129" s="14" t="n"/>
      <c r="S129" s="14">
        <f>IF(OR(E129="",I129=""),"",HYPERLINK(IF(F129&lt;&gt;"","https://wa.me/"&amp;SUBSTITUTE(SUBSTITUTE(SUBSTITUTE(F129,"+",""),"-","")," ","")&amp;"?text="&amp;SUBSTITUTE(SUBSTITUTE("Hola "&amp;E129&amp;", tu cuenta de "&amp;A129&amp;" vence el "&amp;TEXT(I129,"dd/mm/yyyy")&amp;". Deseas renovarla?"," ","%20"),"?","%3F"),"https://api.whatsapp.com/send?text="&amp;SUBSTITUTE(SUBSTITUTE("Hola "&amp;E129&amp;", tu cuenta de "&amp;A129&amp;" vence el "&amp;TEXT(I129,"dd/mm/yyyy")&amp;". Deseas renovarla?"," ","%20"),"?","%3F")),"Enviar recordatorio"))</f>
        <v/>
      </c>
      <c r="T129" s="14" t="n"/>
    </row>
    <row r="130" ht="15" customHeight="1" s="28">
      <c r="A130" s="14" t="n"/>
      <c r="B130" s="14" t="n"/>
      <c r="C130" s="14" t="n"/>
      <c r="D130" s="14" t="n"/>
      <c r="E130" s="14" t="n"/>
      <c r="F130" s="14" t="n"/>
      <c r="G130" s="14" t="n"/>
      <c r="H130" s="15" t="n"/>
      <c r="I130" s="15" t="n"/>
      <c r="J130" s="14" t="n"/>
      <c r="K130" s="16">
        <f>IFERROR(VLOOKUP(A130,Precios!$A$5:$C$14,2,FALSE()),"")</f>
        <v/>
      </c>
      <c r="L130" s="16">
        <f>IFERROR(VLOOKUP(A130,Precios!$A$5:$C$14,3,FALSE()),"")</f>
        <v/>
      </c>
      <c r="M130" s="16">
        <f>IF(AND(K130&lt;&gt;"",L130&lt;&gt;""),L130-K130,"")</f>
        <v/>
      </c>
      <c r="N130" s="14">
        <f>IF(AND(H130&lt;&gt;"",I130&lt;&gt;""),I130-H130,"")</f>
        <v/>
      </c>
      <c r="O130" s="14">
        <f>IF(I130&lt;&gt;"",I130-TODAY(),"")</f>
        <v/>
      </c>
      <c r="P130" s="15">
        <f>IF(I130="","",IF(J130="Anual",I130+365,I130+30))</f>
        <v/>
      </c>
      <c r="Q130" s="14">
        <f>IF(I130="","",IF(O130&lt;0,"Vencida",IF(O130&lt;=3,"Por vencer","Activa")))</f>
        <v/>
      </c>
      <c r="R130" s="14" t="n"/>
      <c r="S130" s="14">
        <f>IF(OR(E130="",I130=""),"",HYPERLINK(IF(F130&lt;&gt;"","https://wa.me/"&amp;SUBSTITUTE(SUBSTITUTE(SUBSTITUTE(F130,"+",""),"-","")," ","")&amp;"?text="&amp;SUBSTITUTE(SUBSTITUTE("Hola "&amp;E130&amp;", tu cuenta de "&amp;A130&amp;" vence el "&amp;TEXT(I130,"dd/mm/yyyy")&amp;". Deseas renovarla?"," ","%20"),"?","%3F"),"https://api.whatsapp.com/send?text="&amp;SUBSTITUTE(SUBSTITUTE("Hola "&amp;E130&amp;", tu cuenta de "&amp;A130&amp;" vence el "&amp;TEXT(I130,"dd/mm/yyyy")&amp;". Deseas renovarla?"," ","%20"),"?","%3F")),"Enviar recordatorio"))</f>
        <v/>
      </c>
      <c r="T130" s="14" t="n"/>
    </row>
    <row r="131" ht="15" customHeight="1" s="28">
      <c r="A131" s="14" t="n"/>
      <c r="B131" s="14" t="n"/>
      <c r="C131" s="14" t="n"/>
      <c r="D131" s="14" t="n"/>
      <c r="E131" s="14" t="n"/>
      <c r="F131" s="14" t="n"/>
      <c r="G131" s="14" t="n"/>
      <c r="H131" s="15" t="n"/>
      <c r="I131" s="15" t="n"/>
      <c r="J131" s="14" t="n"/>
      <c r="K131" s="16">
        <f>IFERROR(VLOOKUP(A131,Precios!$A$5:$C$14,2,FALSE()),"")</f>
        <v/>
      </c>
      <c r="L131" s="16">
        <f>IFERROR(VLOOKUP(A131,Precios!$A$5:$C$14,3,FALSE()),"")</f>
        <v/>
      </c>
      <c r="M131" s="16">
        <f>IF(AND(K131&lt;&gt;"",L131&lt;&gt;""),L131-K131,"")</f>
        <v/>
      </c>
      <c r="N131" s="14">
        <f>IF(AND(H131&lt;&gt;"",I131&lt;&gt;""),I131-H131,"")</f>
        <v/>
      </c>
      <c r="O131" s="14">
        <f>IF(I131&lt;&gt;"",I131-TODAY(),"")</f>
        <v/>
      </c>
      <c r="P131" s="15">
        <f>IF(I131="","",IF(J131="Anual",I131+365,I131+30))</f>
        <v/>
      </c>
      <c r="Q131" s="14">
        <f>IF(I131="","",IF(O131&lt;0,"Vencida",IF(O131&lt;=3,"Por vencer","Activa")))</f>
        <v/>
      </c>
      <c r="R131" s="14" t="n"/>
      <c r="S131" s="14">
        <f>IF(OR(E131="",I131=""),"",HYPERLINK(IF(F131&lt;&gt;"","https://wa.me/"&amp;SUBSTITUTE(SUBSTITUTE(SUBSTITUTE(F131,"+",""),"-","")," ","")&amp;"?text="&amp;SUBSTITUTE(SUBSTITUTE("Hola "&amp;E131&amp;", tu cuenta de "&amp;A131&amp;" vence el "&amp;TEXT(I131,"dd/mm/yyyy")&amp;". Deseas renovarla?"," ","%20"),"?","%3F"),"https://api.whatsapp.com/send?text="&amp;SUBSTITUTE(SUBSTITUTE("Hola "&amp;E131&amp;", tu cuenta de "&amp;A131&amp;" vence el "&amp;TEXT(I131,"dd/mm/yyyy")&amp;". Deseas renovarla?"," ","%20"),"?","%3F")),"Enviar recordatorio"))</f>
        <v/>
      </c>
      <c r="T131" s="14" t="n"/>
    </row>
    <row r="132" ht="15" customHeight="1" s="28">
      <c r="A132" s="14" t="n"/>
      <c r="B132" s="14" t="n"/>
      <c r="C132" s="14" t="n"/>
      <c r="D132" s="14" t="n"/>
      <c r="E132" s="14" t="n"/>
      <c r="F132" s="14" t="n"/>
      <c r="G132" s="14" t="n"/>
      <c r="H132" s="15" t="n"/>
      <c r="I132" s="15" t="n"/>
      <c r="J132" s="14" t="n"/>
      <c r="K132" s="16">
        <f>IFERROR(VLOOKUP(A132,Precios!$A$5:$C$14,2,FALSE()),"")</f>
        <v/>
      </c>
      <c r="L132" s="16">
        <f>IFERROR(VLOOKUP(A132,Precios!$A$5:$C$14,3,FALSE()),"")</f>
        <v/>
      </c>
      <c r="M132" s="16">
        <f>IF(AND(K132&lt;&gt;"",L132&lt;&gt;""),L132-K132,"")</f>
        <v/>
      </c>
      <c r="N132" s="14">
        <f>IF(AND(H132&lt;&gt;"",I132&lt;&gt;""),I132-H132,"")</f>
        <v/>
      </c>
      <c r="O132" s="14">
        <f>IF(I132&lt;&gt;"",I132-TODAY(),"")</f>
        <v/>
      </c>
      <c r="P132" s="15">
        <f>IF(I132="","",IF(J132="Anual",I132+365,I132+30))</f>
        <v/>
      </c>
      <c r="Q132" s="14">
        <f>IF(I132="","",IF(O132&lt;0,"Vencida",IF(O132&lt;=3,"Por vencer","Activa")))</f>
        <v/>
      </c>
      <c r="R132" s="14" t="n"/>
      <c r="S132" s="14">
        <f>IF(OR(E132="",I132=""),"",HYPERLINK(IF(F132&lt;&gt;"","https://wa.me/"&amp;SUBSTITUTE(SUBSTITUTE(SUBSTITUTE(F132,"+",""),"-","")," ","")&amp;"?text="&amp;SUBSTITUTE(SUBSTITUTE("Hola "&amp;E132&amp;", tu cuenta de "&amp;A132&amp;" vence el "&amp;TEXT(I132,"dd/mm/yyyy")&amp;". Deseas renovarla?"," ","%20"),"?","%3F"),"https://api.whatsapp.com/send?text="&amp;SUBSTITUTE(SUBSTITUTE("Hola "&amp;E132&amp;", tu cuenta de "&amp;A132&amp;" vence el "&amp;TEXT(I132,"dd/mm/yyyy")&amp;". Deseas renovarla?"," ","%20"),"?","%3F")),"Enviar recordatorio"))</f>
        <v/>
      </c>
      <c r="T132" s="14" t="n"/>
    </row>
    <row r="133" ht="15" customHeight="1" s="28">
      <c r="A133" s="14" t="n"/>
      <c r="B133" s="14" t="n"/>
      <c r="C133" s="14" t="n"/>
      <c r="D133" s="14" t="n"/>
      <c r="E133" s="14" t="n"/>
      <c r="F133" s="14" t="n"/>
      <c r="G133" s="14" t="n"/>
      <c r="H133" s="15" t="n"/>
      <c r="I133" s="15" t="n"/>
      <c r="J133" s="14" t="n"/>
      <c r="K133" s="16">
        <f>IFERROR(VLOOKUP(A133,Precios!$A$5:$C$14,2,FALSE()),"")</f>
        <v/>
      </c>
      <c r="L133" s="16">
        <f>IFERROR(VLOOKUP(A133,Precios!$A$5:$C$14,3,FALSE()),"")</f>
        <v/>
      </c>
      <c r="M133" s="16">
        <f>IF(AND(K133&lt;&gt;"",L133&lt;&gt;""),L133-K133,"")</f>
        <v/>
      </c>
      <c r="N133" s="14">
        <f>IF(AND(H133&lt;&gt;"",I133&lt;&gt;""),I133-H133,"")</f>
        <v/>
      </c>
      <c r="O133" s="14">
        <f>IF(I133&lt;&gt;"",I133-TODAY(),"")</f>
        <v/>
      </c>
      <c r="P133" s="15">
        <f>IF(I133="","",IF(J133="Anual",I133+365,I133+30))</f>
        <v/>
      </c>
      <c r="Q133" s="14">
        <f>IF(I133="","",IF(O133&lt;0,"Vencida",IF(O133&lt;=3,"Por vencer","Activa")))</f>
        <v/>
      </c>
      <c r="R133" s="14" t="n"/>
      <c r="S133" s="14">
        <f>IF(OR(E133="",I133=""),"",HYPERLINK(IF(F133&lt;&gt;"","https://wa.me/"&amp;SUBSTITUTE(SUBSTITUTE(SUBSTITUTE(F133,"+",""),"-","")," ","")&amp;"?text="&amp;SUBSTITUTE(SUBSTITUTE("Hola "&amp;E133&amp;", tu cuenta de "&amp;A133&amp;" vence el "&amp;TEXT(I133,"dd/mm/yyyy")&amp;". Deseas renovarla?"," ","%20"),"?","%3F"),"https://api.whatsapp.com/send?text="&amp;SUBSTITUTE(SUBSTITUTE("Hola "&amp;E133&amp;", tu cuenta de "&amp;A133&amp;" vence el "&amp;TEXT(I133,"dd/mm/yyyy")&amp;". Deseas renovarla?"," ","%20"),"?","%3F")),"Enviar recordatorio"))</f>
        <v/>
      </c>
      <c r="T133" s="14" t="n"/>
    </row>
    <row r="134" ht="15" customHeight="1" s="28">
      <c r="A134" s="14" t="n"/>
      <c r="B134" s="14" t="n"/>
      <c r="C134" s="14" t="n"/>
      <c r="D134" s="14" t="n"/>
      <c r="E134" s="14" t="n"/>
      <c r="F134" s="14" t="n"/>
      <c r="G134" s="14" t="n"/>
      <c r="H134" s="15" t="n"/>
      <c r="I134" s="15" t="n"/>
      <c r="J134" s="14" t="n"/>
      <c r="K134" s="16">
        <f>IFERROR(VLOOKUP(A134,Precios!$A$5:$C$14,2,FALSE()),"")</f>
        <v/>
      </c>
      <c r="L134" s="16">
        <f>IFERROR(VLOOKUP(A134,Precios!$A$5:$C$14,3,FALSE()),"")</f>
        <v/>
      </c>
      <c r="M134" s="16">
        <f>IF(AND(K134&lt;&gt;"",L134&lt;&gt;""),L134-K134,"")</f>
        <v/>
      </c>
      <c r="N134" s="14">
        <f>IF(AND(H134&lt;&gt;"",I134&lt;&gt;""),I134-H134,"")</f>
        <v/>
      </c>
      <c r="O134" s="14">
        <f>IF(I134&lt;&gt;"",I134-TODAY(),"")</f>
        <v/>
      </c>
      <c r="P134" s="15">
        <f>IF(I134="","",IF(J134="Anual",I134+365,I134+30))</f>
        <v/>
      </c>
      <c r="Q134" s="14">
        <f>IF(I134="","",IF(O134&lt;0,"Vencida",IF(O134&lt;=3,"Por vencer","Activa")))</f>
        <v/>
      </c>
      <c r="R134" s="14" t="n"/>
      <c r="S134" s="14">
        <f>IF(OR(E134="",I134=""),"",HYPERLINK(IF(F134&lt;&gt;"","https://wa.me/"&amp;SUBSTITUTE(SUBSTITUTE(SUBSTITUTE(F134,"+",""),"-","")," ","")&amp;"?text="&amp;SUBSTITUTE(SUBSTITUTE("Hola "&amp;E134&amp;", tu cuenta de "&amp;A134&amp;" vence el "&amp;TEXT(I134,"dd/mm/yyyy")&amp;". Deseas renovarla?"," ","%20"),"?","%3F"),"https://api.whatsapp.com/send?text="&amp;SUBSTITUTE(SUBSTITUTE("Hola "&amp;E134&amp;", tu cuenta de "&amp;A134&amp;" vence el "&amp;TEXT(I134,"dd/mm/yyyy")&amp;". Deseas renovarla?"," ","%20"),"?","%3F")),"Enviar recordatorio"))</f>
        <v/>
      </c>
      <c r="T134" s="14" t="n"/>
    </row>
    <row r="135" ht="15" customHeight="1" s="28">
      <c r="A135" s="14" t="n"/>
      <c r="B135" s="14" t="n"/>
      <c r="C135" s="14" t="n"/>
      <c r="D135" s="14" t="n"/>
      <c r="E135" s="14" t="n"/>
      <c r="F135" s="14" t="n"/>
      <c r="G135" s="14" t="n"/>
      <c r="H135" s="15" t="n"/>
      <c r="I135" s="15" t="n"/>
      <c r="J135" s="14" t="n"/>
      <c r="K135" s="16">
        <f>IFERROR(VLOOKUP(A135,Precios!$A$5:$C$14,2,FALSE()),"")</f>
        <v/>
      </c>
      <c r="L135" s="16">
        <f>IFERROR(VLOOKUP(A135,Precios!$A$5:$C$14,3,FALSE()),"")</f>
        <v/>
      </c>
      <c r="M135" s="16">
        <f>IF(AND(K135&lt;&gt;"",L135&lt;&gt;""),L135-K135,"")</f>
        <v/>
      </c>
      <c r="N135" s="14">
        <f>IF(AND(H135&lt;&gt;"",I135&lt;&gt;""),I135-H135,"")</f>
        <v/>
      </c>
      <c r="O135" s="14">
        <f>IF(I135&lt;&gt;"",I135-TODAY(),"")</f>
        <v/>
      </c>
      <c r="P135" s="15">
        <f>IF(I135="","",IF(J135="Anual",I135+365,I135+30))</f>
        <v/>
      </c>
      <c r="Q135" s="14">
        <f>IF(I135="","",IF(O135&lt;0,"Vencida",IF(O135&lt;=3,"Por vencer","Activa")))</f>
        <v/>
      </c>
      <c r="R135" s="14" t="n"/>
      <c r="S135" s="14">
        <f>IF(OR(E135="",I135=""),"",HYPERLINK(IF(F135&lt;&gt;"","https://wa.me/"&amp;SUBSTITUTE(SUBSTITUTE(SUBSTITUTE(F135,"+",""),"-","")," ","")&amp;"?text="&amp;SUBSTITUTE(SUBSTITUTE("Hola "&amp;E135&amp;", tu cuenta de "&amp;A135&amp;" vence el "&amp;TEXT(I135,"dd/mm/yyyy")&amp;". Deseas renovarla?"," ","%20"),"?","%3F"),"https://api.whatsapp.com/send?text="&amp;SUBSTITUTE(SUBSTITUTE("Hola "&amp;E135&amp;", tu cuenta de "&amp;A135&amp;" vence el "&amp;TEXT(I135,"dd/mm/yyyy")&amp;". Deseas renovarla?"," ","%20"),"?","%3F")),"Enviar recordatorio"))</f>
        <v/>
      </c>
      <c r="T135" s="14" t="n"/>
    </row>
    <row r="136" ht="15" customHeight="1" s="28">
      <c r="A136" s="14" t="n"/>
      <c r="B136" s="14" t="n"/>
      <c r="C136" s="14" t="n"/>
      <c r="D136" s="14" t="n"/>
      <c r="E136" s="14" t="n"/>
      <c r="F136" s="14" t="n"/>
      <c r="G136" s="14" t="n"/>
      <c r="H136" s="15" t="n"/>
      <c r="I136" s="15" t="n"/>
      <c r="J136" s="14" t="n"/>
      <c r="K136" s="16">
        <f>IFERROR(VLOOKUP(A136,Precios!$A$5:$C$14,2,FALSE()),"")</f>
        <v/>
      </c>
      <c r="L136" s="16">
        <f>IFERROR(VLOOKUP(A136,Precios!$A$5:$C$14,3,FALSE()),"")</f>
        <v/>
      </c>
      <c r="M136" s="16">
        <f>IF(AND(K136&lt;&gt;"",L136&lt;&gt;""),L136-K136,"")</f>
        <v/>
      </c>
      <c r="N136" s="14">
        <f>IF(AND(H136&lt;&gt;"",I136&lt;&gt;""),I136-H136,"")</f>
        <v/>
      </c>
      <c r="O136" s="14">
        <f>IF(I136&lt;&gt;"",I136-TODAY(),"")</f>
        <v/>
      </c>
      <c r="P136" s="15">
        <f>IF(I136="","",IF(J136="Anual",I136+365,I136+30))</f>
        <v/>
      </c>
      <c r="Q136" s="14">
        <f>IF(I136="","",IF(O136&lt;0,"Vencida",IF(O136&lt;=3,"Por vencer","Activa")))</f>
        <v/>
      </c>
      <c r="R136" s="14" t="n"/>
      <c r="S136" s="14">
        <f>IF(OR(E136="",I136=""),"",HYPERLINK(IF(F136&lt;&gt;"","https://wa.me/"&amp;SUBSTITUTE(SUBSTITUTE(SUBSTITUTE(F136,"+",""),"-","")," ","")&amp;"?text="&amp;SUBSTITUTE(SUBSTITUTE("Hola "&amp;E136&amp;", tu cuenta de "&amp;A136&amp;" vence el "&amp;TEXT(I136,"dd/mm/yyyy")&amp;". Deseas renovarla?"," ","%20"),"?","%3F"),"https://api.whatsapp.com/send?text="&amp;SUBSTITUTE(SUBSTITUTE("Hola "&amp;E136&amp;", tu cuenta de "&amp;A136&amp;" vence el "&amp;TEXT(I136,"dd/mm/yyyy")&amp;". Deseas renovarla?"," ","%20"),"?","%3F")),"Enviar recordatorio"))</f>
        <v/>
      </c>
      <c r="T136" s="14" t="n"/>
    </row>
    <row r="137" ht="15" customHeight="1" s="28">
      <c r="A137" s="14" t="n"/>
      <c r="B137" s="14" t="n"/>
      <c r="C137" s="14" t="n"/>
      <c r="D137" s="14" t="n"/>
      <c r="E137" s="14" t="n"/>
      <c r="F137" s="14" t="n"/>
      <c r="G137" s="14" t="n"/>
      <c r="H137" s="15" t="n"/>
      <c r="I137" s="15" t="n"/>
      <c r="J137" s="14" t="n"/>
      <c r="K137" s="16">
        <f>IFERROR(VLOOKUP(A137,Precios!$A$5:$C$14,2,FALSE()),"")</f>
        <v/>
      </c>
      <c r="L137" s="16">
        <f>IFERROR(VLOOKUP(A137,Precios!$A$5:$C$14,3,FALSE()),"")</f>
        <v/>
      </c>
      <c r="M137" s="16">
        <f>IF(AND(K137&lt;&gt;"",L137&lt;&gt;""),L137-K137,"")</f>
        <v/>
      </c>
      <c r="N137" s="14">
        <f>IF(AND(H137&lt;&gt;"",I137&lt;&gt;""),I137-H137,"")</f>
        <v/>
      </c>
      <c r="O137" s="14">
        <f>IF(I137&lt;&gt;"",I137-TODAY(),"")</f>
        <v/>
      </c>
      <c r="P137" s="15">
        <f>IF(I137="","",IF(J137="Anual",I137+365,I137+30))</f>
        <v/>
      </c>
      <c r="Q137" s="14">
        <f>IF(I137="","",IF(O137&lt;0,"Vencida",IF(O137&lt;=3,"Por vencer","Activa")))</f>
        <v/>
      </c>
      <c r="R137" s="14" t="n"/>
      <c r="S137" s="14">
        <f>IF(OR(E137="",I137=""),"",HYPERLINK(IF(F137&lt;&gt;"","https://wa.me/"&amp;SUBSTITUTE(SUBSTITUTE(SUBSTITUTE(F137,"+",""),"-","")," ","")&amp;"?text="&amp;SUBSTITUTE(SUBSTITUTE("Hola "&amp;E137&amp;", tu cuenta de "&amp;A137&amp;" vence el "&amp;TEXT(I137,"dd/mm/yyyy")&amp;". Deseas renovarla?"," ","%20"),"?","%3F"),"https://api.whatsapp.com/send?text="&amp;SUBSTITUTE(SUBSTITUTE("Hola "&amp;E137&amp;", tu cuenta de "&amp;A137&amp;" vence el "&amp;TEXT(I137,"dd/mm/yyyy")&amp;". Deseas renovarla?"," ","%20"),"?","%3F")),"Enviar recordatorio"))</f>
        <v/>
      </c>
      <c r="T137" s="14" t="n"/>
    </row>
    <row r="138" ht="15" customHeight="1" s="28">
      <c r="A138" s="14" t="n"/>
      <c r="B138" s="14" t="n"/>
      <c r="C138" s="14" t="n"/>
      <c r="D138" s="14" t="n"/>
      <c r="E138" s="14" t="n"/>
      <c r="F138" s="14" t="n"/>
      <c r="G138" s="14" t="n"/>
      <c r="H138" s="15" t="n"/>
      <c r="I138" s="15" t="n"/>
      <c r="J138" s="14" t="n"/>
      <c r="K138" s="16">
        <f>IFERROR(VLOOKUP(A138,Precios!$A$5:$C$14,2,FALSE()),"")</f>
        <v/>
      </c>
      <c r="L138" s="16">
        <f>IFERROR(VLOOKUP(A138,Precios!$A$5:$C$14,3,FALSE()),"")</f>
        <v/>
      </c>
      <c r="M138" s="16">
        <f>IF(AND(K138&lt;&gt;"",L138&lt;&gt;""),L138-K138,"")</f>
        <v/>
      </c>
      <c r="N138" s="14">
        <f>IF(AND(H138&lt;&gt;"",I138&lt;&gt;""),I138-H138,"")</f>
        <v/>
      </c>
      <c r="O138" s="14">
        <f>IF(I138&lt;&gt;"",I138-TODAY(),"")</f>
        <v/>
      </c>
      <c r="P138" s="15">
        <f>IF(I138="","",IF(J138="Anual",I138+365,I138+30))</f>
        <v/>
      </c>
      <c r="Q138" s="14">
        <f>IF(I138="","",IF(O138&lt;0,"Vencida",IF(O138&lt;=3,"Por vencer","Activa")))</f>
        <v/>
      </c>
      <c r="R138" s="14" t="n"/>
      <c r="S138" s="14">
        <f>IF(OR(E138="",I138=""),"",HYPERLINK(IF(F138&lt;&gt;"","https://wa.me/"&amp;SUBSTITUTE(SUBSTITUTE(SUBSTITUTE(F138,"+",""),"-","")," ","")&amp;"?text="&amp;SUBSTITUTE(SUBSTITUTE("Hola "&amp;E138&amp;", tu cuenta de "&amp;A138&amp;" vence el "&amp;TEXT(I138,"dd/mm/yyyy")&amp;". Deseas renovarla?"," ","%20"),"?","%3F"),"https://api.whatsapp.com/send?text="&amp;SUBSTITUTE(SUBSTITUTE("Hola "&amp;E138&amp;", tu cuenta de "&amp;A138&amp;" vence el "&amp;TEXT(I138,"dd/mm/yyyy")&amp;". Deseas renovarla?"," ","%20"),"?","%3F")),"Enviar recordatorio"))</f>
        <v/>
      </c>
      <c r="T138" s="14" t="n"/>
    </row>
    <row r="139" ht="15" customHeight="1" s="28">
      <c r="A139" s="14" t="n"/>
      <c r="B139" s="14" t="n"/>
      <c r="C139" s="14" t="n"/>
      <c r="D139" s="14" t="n"/>
      <c r="E139" s="14" t="n"/>
      <c r="F139" s="14" t="n"/>
      <c r="G139" s="14" t="n"/>
      <c r="H139" s="15" t="n"/>
      <c r="I139" s="15" t="n"/>
      <c r="J139" s="14" t="n"/>
      <c r="K139" s="16">
        <f>IFERROR(VLOOKUP(A139,Precios!$A$5:$C$14,2,FALSE()),"")</f>
        <v/>
      </c>
      <c r="L139" s="16">
        <f>IFERROR(VLOOKUP(A139,Precios!$A$5:$C$14,3,FALSE()),"")</f>
        <v/>
      </c>
      <c r="M139" s="16">
        <f>IF(AND(K139&lt;&gt;"",L139&lt;&gt;""),L139-K139,"")</f>
        <v/>
      </c>
      <c r="N139" s="14">
        <f>IF(AND(H139&lt;&gt;"",I139&lt;&gt;""),I139-H139,"")</f>
        <v/>
      </c>
      <c r="O139" s="14">
        <f>IF(I139&lt;&gt;"",I139-TODAY(),"")</f>
        <v/>
      </c>
      <c r="P139" s="15">
        <f>IF(I139="","",IF(J139="Anual",I139+365,I139+30))</f>
        <v/>
      </c>
      <c r="Q139" s="14">
        <f>IF(I139="","",IF(O139&lt;0,"Vencida",IF(O139&lt;=3,"Por vencer","Activa")))</f>
        <v/>
      </c>
      <c r="R139" s="14" t="n"/>
      <c r="S139" s="14">
        <f>IF(OR(E139="",I139=""),"",HYPERLINK(IF(F139&lt;&gt;"","https://wa.me/"&amp;SUBSTITUTE(SUBSTITUTE(SUBSTITUTE(F139,"+",""),"-","")," ","")&amp;"?text="&amp;SUBSTITUTE(SUBSTITUTE("Hola "&amp;E139&amp;", tu cuenta de "&amp;A139&amp;" vence el "&amp;TEXT(I139,"dd/mm/yyyy")&amp;". Deseas renovarla?"," ","%20"),"?","%3F"),"https://api.whatsapp.com/send?text="&amp;SUBSTITUTE(SUBSTITUTE("Hola "&amp;E139&amp;", tu cuenta de "&amp;A139&amp;" vence el "&amp;TEXT(I139,"dd/mm/yyyy")&amp;". Deseas renovarla?"," ","%20"),"?","%3F")),"Enviar recordatorio"))</f>
        <v/>
      </c>
      <c r="T139" s="14" t="n"/>
    </row>
    <row r="140" ht="15" customHeight="1" s="28">
      <c r="A140" s="14" t="n"/>
      <c r="B140" s="14" t="n"/>
      <c r="C140" s="14" t="n"/>
      <c r="D140" s="14" t="n"/>
      <c r="E140" s="14" t="n"/>
      <c r="F140" s="14" t="n"/>
      <c r="G140" s="14" t="n"/>
      <c r="H140" s="15" t="n"/>
      <c r="I140" s="15" t="n"/>
      <c r="J140" s="14" t="n"/>
      <c r="K140" s="16">
        <f>IFERROR(VLOOKUP(A140,Precios!$A$5:$C$14,2,FALSE()),"")</f>
        <v/>
      </c>
      <c r="L140" s="16">
        <f>IFERROR(VLOOKUP(A140,Precios!$A$5:$C$14,3,FALSE()),"")</f>
        <v/>
      </c>
      <c r="M140" s="16">
        <f>IF(AND(K140&lt;&gt;"",L140&lt;&gt;""),L140-K140,"")</f>
        <v/>
      </c>
      <c r="N140" s="14">
        <f>IF(AND(H140&lt;&gt;"",I140&lt;&gt;""),I140-H140,"")</f>
        <v/>
      </c>
      <c r="O140" s="14">
        <f>IF(I140&lt;&gt;"",I140-TODAY(),"")</f>
        <v/>
      </c>
      <c r="P140" s="15">
        <f>IF(I140="","",IF(J140="Anual",I140+365,I140+30))</f>
        <v/>
      </c>
      <c r="Q140" s="14">
        <f>IF(I140="","",IF(O140&lt;0,"Vencida",IF(O140&lt;=3,"Por vencer","Activa")))</f>
        <v/>
      </c>
      <c r="R140" s="14" t="n"/>
      <c r="S140" s="14">
        <f>IF(OR(E140="",I140=""),"",HYPERLINK(IF(F140&lt;&gt;"","https://wa.me/"&amp;SUBSTITUTE(SUBSTITUTE(SUBSTITUTE(F140,"+",""),"-","")," ","")&amp;"?text="&amp;SUBSTITUTE(SUBSTITUTE("Hola "&amp;E140&amp;", tu cuenta de "&amp;A140&amp;" vence el "&amp;TEXT(I140,"dd/mm/yyyy")&amp;". Deseas renovarla?"," ","%20"),"?","%3F"),"https://api.whatsapp.com/send?text="&amp;SUBSTITUTE(SUBSTITUTE("Hola "&amp;E140&amp;", tu cuenta de "&amp;A140&amp;" vence el "&amp;TEXT(I140,"dd/mm/yyyy")&amp;". Deseas renovarla?"," ","%20"),"?","%3F")),"Enviar recordatorio"))</f>
        <v/>
      </c>
      <c r="T140" s="14" t="n"/>
    </row>
    <row r="141" ht="15" customHeight="1" s="28">
      <c r="A141" s="14" t="n"/>
      <c r="B141" s="14" t="n"/>
      <c r="C141" s="14" t="n"/>
      <c r="D141" s="14" t="n"/>
      <c r="E141" s="14" t="n"/>
      <c r="F141" s="14" t="n"/>
      <c r="G141" s="14" t="n"/>
      <c r="H141" s="15" t="n"/>
      <c r="I141" s="15" t="n"/>
      <c r="J141" s="14" t="n"/>
      <c r="K141" s="16">
        <f>IFERROR(VLOOKUP(A141,Precios!$A$5:$C$14,2,FALSE()),"")</f>
        <v/>
      </c>
      <c r="L141" s="16">
        <f>IFERROR(VLOOKUP(A141,Precios!$A$5:$C$14,3,FALSE()),"")</f>
        <v/>
      </c>
      <c r="M141" s="16">
        <f>IF(AND(K141&lt;&gt;"",L141&lt;&gt;""),L141-K141,"")</f>
        <v/>
      </c>
      <c r="N141" s="14">
        <f>IF(AND(H141&lt;&gt;"",I141&lt;&gt;""),I141-H141,"")</f>
        <v/>
      </c>
      <c r="O141" s="14">
        <f>IF(I141&lt;&gt;"",I141-TODAY(),"")</f>
        <v/>
      </c>
      <c r="P141" s="15">
        <f>IF(I141="","",IF(J141="Anual",I141+365,I141+30))</f>
        <v/>
      </c>
      <c r="Q141" s="14">
        <f>IF(I141="","",IF(O141&lt;0,"Vencida",IF(O141&lt;=3,"Por vencer","Activa")))</f>
        <v/>
      </c>
      <c r="R141" s="14" t="n"/>
      <c r="S141" s="14">
        <f>IF(OR(E141="",I141=""),"",HYPERLINK(IF(F141&lt;&gt;"","https://wa.me/"&amp;SUBSTITUTE(SUBSTITUTE(SUBSTITUTE(F141,"+",""),"-","")," ","")&amp;"?text="&amp;SUBSTITUTE(SUBSTITUTE("Hola "&amp;E141&amp;", tu cuenta de "&amp;A141&amp;" vence el "&amp;TEXT(I141,"dd/mm/yyyy")&amp;". Deseas renovarla?"," ","%20"),"?","%3F"),"https://api.whatsapp.com/send?text="&amp;SUBSTITUTE(SUBSTITUTE("Hola "&amp;E141&amp;", tu cuenta de "&amp;A141&amp;" vence el "&amp;TEXT(I141,"dd/mm/yyyy")&amp;". Deseas renovarla?"," ","%20"),"?","%3F")),"Enviar recordatorio"))</f>
        <v/>
      </c>
      <c r="T141" s="14" t="n"/>
    </row>
    <row r="142" ht="15" customHeight="1" s="28">
      <c r="A142" s="14" t="n"/>
      <c r="B142" s="14" t="n"/>
      <c r="C142" s="14" t="n"/>
      <c r="D142" s="14" t="n"/>
      <c r="E142" s="14" t="n"/>
      <c r="F142" s="14" t="n"/>
      <c r="G142" s="14" t="n"/>
      <c r="H142" s="15" t="n"/>
      <c r="I142" s="15" t="n"/>
      <c r="J142" s="14" t="n"/>
      <c r="K142" s="16">
        <f>IFERROR(VLOOKUP(A142,Precios!$A$5:$C$14,2,FALSE()),"")</f>
        <v/>
      </c>
      <c r="L142" s="16">
        <f>IFERROR(VLOOKUP(A142,Precios!$A$5:$C$14,3,FALSE()),"")</f>
        <v/>
      </c>
      <c r="M142" s="16">
        <f>IF(AND(K142&lt;&gt;"",L142&lt;&gt;""),L142-K142,"")</f>
        <v/>
      </c>
      <c r="N142" s="14">
        <f>IF(AND(H142&lt;&gt;"",I142&lt;&gt;""),I142-H142,"")</f>
        <v/>
      </c>
      <c r="O142" s="14">
        <f>IF(I142&lt;&gt;"",I142-TODAY(),"")</f>
        <v/>
      </c>
      <c r="P142" s="15">
        <f>IF(I142="","",IF(J142="Anual",I142+365,I142+30))</f>
        <v/>
      </c>
      <c r="Q142" s="14">
        <f>IF(I142="","",IF(O142&lt;0,"Vencida",IF(O142&lt;=3,"Por vencer","Activa")))</f>
        <v/>
      </c>
      <c r="R142" s="14" t="n"/>
      <c r="S142" s="14">
        <f>IF(OR(E142="",I142=""),"",HYPERLINK(IF(F142&lt;&gt;"","https://wa.me/"&amp;SUBSTITUTE(SUBSTITUTE(SUBSTITUTE(F142,"+",""),"-","")," ","")&amp;"?text="&amp;SUBSTITUTE(SUBSTITUTE("Hola "&amp;E142&amp;", tu cuenta de "&amp;A142&amp;" vence el "&amp;TEXT(I142,"dd/mm/yyyy")&amp;". Deseas renovarla?"," ","%20"),"?","%3F"),"https://api.whatsapp.com/send?text="&amp;SUBSTITUTE(SUBSTITUTE("Hola "&amp;E142&amp;", tu cuenta de "&amp;A142&amp;" vence el "&amp;TEXT(I142,"dd/mm/yyyy")&amp;". Deseas renovarla?"," ","%20"),"?","%3F")),"Enviar recordatorio"))</f>
        <v/>
      </c>
      <c r="T142" s="14" t="n"/>
    </row>
    <row r="143" ht="15" customHeight="1" s="28">
      <c r="A143" s="14" t="n"/>
      <c r="B143" s="14" t="n"/>
      <c r="C143" s="14" t="n"/>
      <c r="D143" s="14" t="n"/>
      <c r="E143" s="14" t="n"/>
      <c r="F143" s="14" t="n"/>
      <c r="G143" s="14" t="n"/>
      <c r="H143" s="15" t="n"/>
      <c r="I143" s="15" t="n"/>
      <c r="J143" s="14" t="n"/>
      <c r="K143" s="16">
        <f>IFERROR(VLOOKUP(A143,Precios!$A$5:$C$14,2,FALSE()),"")</f>
        <v/>
      </c>
      <c r="L143" s="16">
        <f>IFERROR(VLOOKUP(A143,Precios!$A$5:$C$14,3,FALSE()),"")</f>
        <v/>
      </c>
      <c r="M143" s="16">
        <f>IF(AND(K143&lt;&gt;"",L143&lt;&gt;""),L143-K143,"")</f>
        <v/>
      </c>
      <c r="N143" s="14">
        <f>IF(AND(H143&lt;&gt;"",I143&lt;&gt;""),I143-H143,"")</f>
        <v/>
      </c>
      <c r="O143" s="14">
        <f>IF(I143&lt;&gt;"",I143-TODAY(),"")</f>
        <v/>
      </c>
      <c r="P143" s="15">
        <f>IF(I143="","",IF(J143="Anual",I143+365,I143+30))</f>
        <v/>
      </c>
      <c r="Q143" s="14">
        <f>IF(I143="","",IF(O143&lt;0,"Vencida",IF(O143&lt;=3,"Por vencer","Activa")))</f>
        <v/>
      </c>
      <c r="R143" s="14" t="n"/>
      <c r="S143" s="14">
        <f>IF(OR(E143="",I143=""),"",HYPERLINK(IF(F143&lt;&gt;"","https://wa.me/"&amp;SUBSTITUTE(SUBSTITUTE(SUBSTITUTE(F143,"+",""),"-","")," ","")&amp;"?text="&amp;SUBSTITUTE(SUBSTITUTE("Hola "&amp;E143&amp;", tu cuenta de "&amp;A143&amp;" vence el "&amp;TEXT(I143,"dd/mm/yyyy")&amp;". Deseas renovarla?"," ","%20"),"?","%3F"),"https://api.whatsapp.com/send?text="&amp;SUBSTITUTE(SUBSTITUTE("Hola "&amp;E143&amp;", tu cuenta de "&amp;A143&amp;" vence el "&amp;TEXT(I143,"dd/mm/yyyy")&amp;". Deseas renovarla?"," ","%20"),"?","%3F")),"Enviar recordatorio"))</f>
        <v/>
      </c>
      <c r="T143" s="14" t="n"/>
    </row>
    <row r="144" ht="15" customHeight="1" s="28">
      <c r="A144" s="14" t="n"/>
      <c r="B144" s="14" t="n"/>
      <c r="C144" s="14" t="n"/>
      <c r="D144" s="14" t="n"/>
      <c r="E144" s="14" t="n"/>
      <c r="F144" s="14" t="n"/>
      <c r="G144" s="14" t="n"/>
      <c r="H144" s="15" t="n"/>
      <c r="I144" s="15" t="n"/>
      <c r="J144" s="14" t="n"/>
      <c r="K144" s="16">
        <f>IFERROR(VLOOKUP(A144,Precios!$A$5:$C$14,2,FALSE()),"")</f>
        <v/>
      </c>
      <c r="L144" s="16">
        <f>IFERROR(VLOOKUP(A144,Precios!$A$5:$C$14,3,FALSE()),"")</f>
        <v/>
      </c>
      <c r="M144" s="16">
        <f>IF(AND(K144&lt;&gt;"",L144&lt;&gt;""),L144-K144,"")</f>
        <v/>
      </c>
      <c r="N144" s="14">
        <f>IF(AND(H144&lt;&gt;"",I144&lt;&gt;""),I144-H144,"")</f>
        <v/>
      </c>
      <c r="O144" s="14">
        <f>IF(I144&lt;&gt;"",I144-TODAY(),"")</f>
        <v/>
      </c>
      <c r="P144" s="15">
        <f>IF(I144="","",IF(J144="Anual",I144+365,I144+30))</f>
        <v/>
      </c>
      <c r="Q144" s="14">
        <f>IF(I144="","",IF(O144&lt;0,"Vencida",IF(O144&lt;=3,"Por vencer","Activa")))</f>
        <v/>
      </c>
      <c r="R144" s="14" t="n"/>
      <c r="S144" s="14">
        <f>IF(OR(E144="",I144=""),"",HYPERLINK(IF(F144&lt;&gt;"","https://wa.me/"&amp;SUBSTITUTE(SUBSTITUTE(SUBSTITUTE(F144,"+",""),"-","")," ","")&amp;"?text="&amp;SUBSTITUTE(SUBSTITUTE("Hola "&amp;E144&amp;", tu cuenta de "&amp;A144&amp;" vence el "&amp;TEXT(I144,"dd/mm/yyyy")&amp;". Deseas renovarla?"," ","%20"),"?","%3F"),"https://api.whatsapp.com/send?text="&amp;SUBSTITUTE(SUBSTITUTE("Hola "&amp;E144&amp;", tu cuenta de "&amp;A144&amp;" vence el "&amp;TEXT(I144,"dd/mm/yyyy")&amp;". Deseas renovarla?"," ","%20"),"?","%3F")),"Enviar recordatorio"))</f>
        <v/>
      </c>
      <c r="T144" s="14" t="n"/>
    </row>
    <row r="145" ht="15" customHeight="1" s="28">
      <c r="A145" s="14" t="n"/>
      <c r="B145" s="14" t="n"/>
      <c r="C145" s="14" t="n"/>
      <c r="D145" s="14" t="n"/>
      <c r="E145" s="14" t="n"/>
      <c r="F145" s="14" t="n"/>
      <c r="G145" s="14" t="n"/>
      <c r="H145" s="15" t="n"/>
      <c r="I145" s="15" t="n"/>
      <c r="J145" s="14" t="n"/>
      <c r="K145" s="16">
        <f>IFERROR(VLOOKUP(A145,Precios!$A$5:$C$14,2,FALSE()),"")</f>
        <v/>
      </c>
      <c r="L145" s="16">
        <f>IFERROR(VLOOKUP(A145,Precios!$A$5:$C$14,3,FALSE()),"")</f>
        <v/>
      </c>
      <c r="M145" s="16">
        <f>IF(AND(K145&lt;&gt;"",L145&lt;&gt;""),L145-K145,"")</f>
        <v/>
      </c>
      <c r="N145" s="14">
        <f>IF(AND(H145&lt;&gt;"",I145&lt;&gt;""),I145-H145,"")</f>
        <v/>
      </c>
      <c r="O145" s="14">
        <f>IF(I145&lt;&gt;"",I145-TODAY(),"")</f>
        <v/>
      </c>
      <c r="P145" s="15">
        <f>IF(I145="","",IF(J145="Anual",I145+365,I145+30))</f>
        <v/>
      </c>
      <c r="Q145" s="14">
        <f>IF(I145="","",IF(O145&lt;0,"Vencida",IF(O145&lt;=3,"Por vencer","Activa")))</f>
        <v/>
      </c>
      <c r="R145" s="14" t="n"/>
      <c r="S145" s="14">
        <f>IF(OR(E145="",I145=""),"",HYPERLINK(IF(F145&lt;&gt;"","https://wa.me/"&amp;SUBSTITUTE(SUBSTITUTE(SUBSTITUTE(F145,"+",""),"-","")," ","")&amp;"?text="&amp;SUBSTITUTE(SUBSTITUTE("Hola "&amp;E145&amp;", tu cuenta de "&amp;A145&amp;" vence el "&amp;TEXT(I145,"dd/mm/yyyy")&amp;". Deseas renovarla?"," ","%20"),"?","%3F"),"https://api.whatsapp.com/send?text="&amp;SUBSTITUTE(SUBSTITUTE("Hola "&amp;E145&amp;", tu cuenta de "&amp;A145&amp;" vence el "&amp;TEXT(I145,"dd/mm/yyyy")&amp;". Deseas renovarla?"," ","%20"),"?","%3F")),"Enviar recordatorio"))</f>
        <v/>
      </c>
      <c r="T145" s="14" t="n"/>
    </row>
    <row r="146" ht="15" customHeight="1" s="28">
      <c r="A146" s="14" t="n"/>
      <c r="B146" s="14" t="n"/>
      <c r="C146" s="14" t="n"/>
      <c r="D146" s="14" t="n"/>
      <c r="E146" s="14" t="n"/>
      <c r="F146" s="14" t="n"/>
      <c r="G146" s="14" t="n"/>
      <c r="H146" s="15" t="n"/>
      <c r="I146" s="15" t="n"/>
      <c r="J146" s="14" t="n"/>
      <c r="K146" s="16">
        <f>IFERROR(VLOOKUP(A146,Precios!$A$5:$C$14,2,FALSE()),"")</f>
        <v/>
      </c>
      <c r="L146" s="16">
        <f>IFERROR(VLOOKUP(A146,Precios!$A$5:$C$14,3,FALSE()),"")</f>
        <v/>
      </c>
      <c r="M146" s="16">
        <f>IF(AND(K146&lt;&gt;"",L146&lt;&gt;""),L146-K146,"")</f>
        <v/>
      </c>
      <c r="N146" s="14">
        <f>IF(AND(H146&lt;&gt;"",I146&lt;&gt;""),I146-H146,"")</f>
        <v/>
      </c>
      <c r="O146" s="14">
        <f>IF(I146&lt;&gt;"",I146-TODAY(),"")</f>
        <v/>
      </c>
      <c r="P146" s="15">
        <f>IF(I146="","",IF(J146="Anual",I146+365,I146+30))</f>
        <v/>
      </c>
      <c r="Q146" s="14">
        <f>IF(I146="","",IF(O146&lt;0,"Vencida",IF(O146&lt;=3,"Por vencer","Activa")))</f>
        <v/>
      </c>
      <c r="R146" s="14" t="n"/>
      <c r="S146" s="14">
        <f>IF(OR(E146="",I146=""),"",HYPERLINK(IF(F146&lt;&gt;"","https://wa.me/"&amp;SUBSTITUTE(SUBSTITUTE(SUBSTITUTE(F146,"+",""),"-","")," ","")&amp;"?text="&amp;SUBSTITUTE(SUBSTITUTE("Hola "&amp;E146&amp;", tu cuenta de "&amp;A146&amp;" vence el "&amp;TEXT(I146,"dd/mm/yyyy")&amp;". Deseas renovarla?"," ","%20"),"?","%3F"),"https://api.whatsapp.com/send?text="&amp;SUBSTITUTE(SUBSTITUTE("Hola "&amp;E146&amp;", tu cuenta de "&amp;A146&amp;" vence el "&amp;TEXT(I146,"dd/mm/yyyy")&amp;". Deseas renovarla?"," ","%20"),"?","%3F")),"Enviar recordatorio"))</f>
        <v/>
      </c>
      <c r="T146" s="14" t="n"/>
    </row>
    <row r="147" ht="15" customHeight="1" s="28">
      <c r="A147" s="14" t="n"/>
      <c r="B147" s="14" t="n"/>
      <c r="C147" s="14" t="n"/>
      <c r="D147" s="14" t="n"/>
      <c r="E147" s="14" t="n"/>
      <c r="F147" s="14" t="n"/>
      <c r="G147" s="14" t="n"/>
      <c r="H147" s="15" t="n"/>
      <c r="I147" s="15" t="n"/>
      <c r="J147" s="14" t="n"/>
      <c r="K147" s="16">
        <f>IFERROR(VLOOKUP(A147,Precios!$A$5:$C$14,2,FALSE()),"")</f>
        <v/>
      </c>
      <c r="L147" s="16">
        <f>IFERROR(VLOOKUP(A147,Precios!$A$5:$C$14,3,FALSE()),"")</f>
        <v/>
      </c>
      <c r="M147" s="16">
        <f>IF(AND(K147&lt;&gt;"",L147&lt;&gt;""),L147-K147,"")</f>
        <v/>
      </c>
      <c r="N147" s="14">
        <f>IF(AND(H147&lt;&gt;"",I147&lt;&gt;""),I147-H147,"")</f>
        <v/>
      </c>
      <c r="O147" s="14">
        <f>IF(I147&lt;&gt;"",I147-TODAY(),"")</f>
        <v/>
      </c>
      <c r="P147" s="15">
        <f>IF(I147="","",IF(J147="Anual",I147+365,I147+30))</f>
        <v/>
      </c>
      <c r="Q147" s="14">
        <f>IF(I147="","",IF(O147&lt;0,"Vencida",IF(O147&lt;=3,"Por vencer","Activa")))</f>
        <v/>
      </c>
      <c r="R147" s="14" t="n"/>
      <c r="S147" s="14">
        <f>IF(OR(E147="",I147=""),"",HYPERLINK(IF(F147&lt;&gt;"","https://wa.me/"&amp;SUBSTITUTE(SUBSTITUTE(SUBSTITUTE(F147,"+",""),"-","")," ","")&amp;"?text="&amp;SUBSTITUTE(SUBSTITUTE("Hola "&amp;E147&amp;", tu cuenta de "&amp;A147&amp;" vence el "&amp;TEXT(I147,"dd/mm/yyyy")&amp;". Deseas renovarla?"," ","%20"),"?","%3F"),"https://api.whatsapp.com/send?text="&amp;SUBSTITUTE(SUBSTITUTE("Hola "&amp;E147&amp;", tu cuenta de "&amp;A147&amp;" vence el "&amp;TEXT(I147,"dd/mm/yyyy")&amp;". Deseas renovarla?"," ","%20"),"?","%3F")),"Enviar recordatorio"))</f>
        <v/>
      </c>
      <c r="T147" s="14" t="n"/>
    </row>
    <row r="148" ht="15" customHeight="1" s="28">
      <c r="A148" s="14" t="n"/>
      <c r="B148" s="14" t="n"/>
      <c r="C148" s="14" t="n"/>
      <c r="D148" s="14" t="n"/>
      <c r="E148" s="14" t="n"/>
      <c r="F148" s="14" t="n"/>
      <c r="G148" s="14" t="n"/>
      <c r="H148" s="15" t="n"/>
      <c r="I148" s="15" t="n"/>
      <c r="J148" s="14" t="n"/>
      <c r="K148" s="16">
        <f>IFERROR(VLOOKUP(A148,Precios!$A$5:$C$14,2,FALSE()),"")</f>
        <v/>
      </c>
      <c r="L148" s="16">
        <f>IFERROR(VLOOKUP(A148,Precios!$A$5:$C$14,3,FALSE()),"")</f>
        <v/>
      </c>
      <c r="M148" s="16">
        <f>IF(AND(K148&lt;&gt;"",L148&lt;&gt;""),L148-K148,"")</f>
        <v/>
      </c>
      <c r="N148" s="14">
        <f>IF(AND(H148&lt;&gt;"",I148&lt;&gt;""),I148-H148,"")</f>
        <v/>
      </c>
      <c r="O148" s="14">
        <f>IF(I148&lt;&gt;"",I148-TODAY(),"")</f>
        <v/>
      </c>
      <c r="P148" s="15">
        <f>IF(I148="","",IF(J148="Anual",I148+365,I148+30))</f>
        <v/>
      </c>
      <c r="Q148" s="14">
        <f>IF(I148="","",IF(O148&lt;0,"Vencida",IF(O148&lt;=3,"Por vencer","Activa")))</f>
        <v/>
      </c>
      <c r="R148" s="14" t="n"/>
      <c r="S148" s="14">
        <f>IF(OR(E148="",I148=""),"",HYPERLINK(IF(F148&lt;&gt;"","https://wa.me/"&amp;SUBSTITUTE(SUBSTITUTE(SUBSTITUTE(F148,"+",""),"-","")," ","")&amp;"?text="&amp;SUBSTITUTE(SUBSTITUTE("Hola "&amp;E148&amp;", tu cuenta de "&amp;A148&amp;" vence el "&amp;TEXT(I148,"dd/mm/yyyy")&amp;". Deseas renovarla?"," ","%20"),"?","%3F"),"https://api.whatsapp.com/send?text="&amp;SUBSTITUTE(SUBSTITUTE("Hola "&amp;E148&amp;", tu cuenta de "&amp;A148&amp;" vence el "&amp;TEXT(I148,"dd/mm/yyyy")&amp;". Deseas renovarla?"," ","%20"),"?","%3F")),"Enviar recordatorio"))</f>
        <v/>
      </c>
      <c r="T148" s="14" t="n"/>
    </row>
    <row r="149" ht="15" customHeight="1" s="28">
      <c r="A149" s="14" t="n"/>
      <c r="B149" s="14" t="n"/>
      <c r="C149" s="14" t="n"/>
      <c r="D149" s="14" t="n"/>
      <c r="E149" s="14" t="n"/>
      <c r="F149" s="14" t="n"/>
      <c r="G149" s="14" t="n"/>
      <c r="H149" s="15" t="n"/>
      <c r="I149" s="15" t="n"/>
      <c r="J149" s="14" t="n"/>
      <c r="K149" s="16">
        <f>IFERROR(VLOOKUP(A149,Precios!$A$5:$C$14,2,FALSE()),"")</f>
        <v/>
      </c>
      <c r="L149" s="16">
        <f>IFERROR(VLOOKUP(A149,Precios!$A$5:$C$14,3,FALSE()),"")</f>
        <v/>
      </c>
      <c r="M149" s="16">
        <f>IF(AND(K149&lt;&gt;"",L149&lt;&gt;""),L149-K149,"")</f>
        <v/>
      </c>
      <c r="N149" s="14">
        <f>IF(AND(H149&lt;&gt;"",I149&lt;&gt;""),I149-H149,"")</f>
        <v/>
      </c>
      <c r="O149" s="14">
        <f>IF(I149&lt;&gt;"",I149-TODAY(),"")</f>
        <v/>
      </c>
      <c r="P149" s="15">
        <f>IF(I149="","",IF(J149="Anual",I149+365,I149+30))</f>
        <v/>
      </c>
      <c r="Q149" s="14">
        <f>IF(I149="","",IF(O149&lt;0,"Vencida",IF(O149&lt;=3,"Por vencer","Activa")))</f>
        <v/>
      </c>
      <c r="R149" s="14" t="n"/>
      <c r="S149" s="14">
        <f>IF(OR(E149="",I149=""),"",HYPERLINK(IF(F149&lt;&gt;"","https://wa.me/"&amp;SUBSTITUTE(SUBSTITUTE(SUBSTITUTE(F149,"+",""),"-","")," ","")&amp;"?text="&amp;SUBSTITUTE(SUBSTITUTE("Hola "&amp;E149&amp;", tu cuenta de "&amp;A149&amp;" vence el "&amp;TEXT(I149,"dd/mm/yyyy")&amp;". Deseas renovarla?"," ","%20"),"?","%3F"),"https://api.whatsapp.com/send?text="&amp;SUBSTITUTE(SUBSTITUTE("Hola "&amp;E149&amp;", tu cuenta de "&amp;A149&amp;" vence el "&amp;TEXT(I149,"dd/mm/yyyy")&amp;". Deseas renovarla?"," ","%20"),"?","%3F")),"Enviar recordatorio"))</f>
        <v/>
      </c>
      <c r="T149" s="14" t="n"/>
    </row>
    <row r="150" ht="15" customHeight="1" s="28">
      <c r="A150" s="14" t="n"/>
      <c r="B150" s="14" t="n"/>
      <c r="C150" s="14" t="n"/>
      <c r="D150" s="14" t="n"/>
      <c r="E150" s="14" t="n"/>
      <c r="F150" s="14" t="n"/>
      <c r="G150" s="14" t="n"/>
      <c r="H150" s="15" t="n"/>
      <c r="I150" s="15" t="n"/>
      <c r="J150" s="14" t="n"/>
      <c r="K150" s="16">
        <f>IFERROR(VLOOKUP(A150,Precios!$A$5:$C$14,2,FALSE()),"")</f>
        <v/>
      </c>
      <c r="L150" s="16">
        <f>IFERROR(VLOOKUP(A150,Precios!$A$5:$C$14,3,FALSE()),"")</f>
        <v/>
      </c>
      <c r="M150" s="16">
        <f>IF(AND(K150&lt;&gt;"",L150&lt;&gt;""),L150-K150,"")</f>
        <v/>
      </c>
      <c r="N150" s="14">
        <f>IF(AND(H150&lt;&gt;"",I150&lt;&gt;""),I150-H150,"")</f>
        <v/>
      </c>
      <c r="O150" s="14">
        <f>IF(I150&lt;&gt;"",I150-TODAY(),"")</f>
        <v/>
      </c>
      <c r="P150" s="15">
        <f>IF(I150="","",IF(J150="Anual",I150+365,I150+30))</f>
        <v/>
      </c>
      <c r="Q150" s="14">
        <f>IF(I150="","",IF(O150&lt;0,"Vencida",IF(O150&lt;=3,"Por vencer","Activa")))</f>
        <v/>
      </c>
      <c r="R150" s="14" t="n"/>
      <c r="S150" s="14">
        <f>IF(OR(E150="",I150=""),"",HYPERLINK(IF(F150&lt;&gt;"","https://wa.me/"&amp;SUBSTITUTE(SUBSTITUTE(SUBSTITUTE(F150,"+",""),"-","")," ","")&amp;"?text="&amp;SUBSTITUTE(SUBSTITUTE("Hola "&amp;E150&amp;", tu cuenta de "&amp;A150&amp;" vence el "&amp;TEXT(I150,"dd/mm/yyyy")&amp;". Deseas renovarla?"," ","%20"),"?","%3F"),"https://api.whatsapp.com/send?text="&amp;SUBSTITUTE(SUBSTITUTE("Hola "&amp;E150&amp;", tu cuenta de "&amp;A150&amp;" vence el "&amp;TEXT(I150,"dd/mm/yyyy")&amp;". Deseas renovarla?"," ","%20"),"?","%3F")),"Enviar recordatorio"))</f>
        <v/>
      </c>
      <c r="T150" s="14" t="n"/>
    </row>
    <row r="151" ht="15" customHeight="1" s="28">
      <c r="A151" s="14" t="n"/>
      <c r="B151" s="14" t="n"/>
      <c r="C151" s="14" t="n"/>
      <c r="D151" s="14" t="n"/>
      <c r="E151" s="14" t="n"/>
      <c r="F151" s="14" t="n"/>
      <c r="G151" s="14" t="n"/>
      <c r="H151" s="15" t="n"/>
      <c r="I151" s="15" t="n"/>
      <c r="J151" s="14" t="n"/>
      <c r="K151" s="16">
        <f>IFERROR(VLOOKUP(A151,Precios!$A$5:$C$14,2,FALSE()),"")</f>
        <v/>
      </c>
      <c r="L151" s="16">
        <f>IFERROR(VLOOKUP(A151,Precios!$A$5:$C$14,3,FALSE()),"")</f>
        <v/>
      </c>
      <c r="M151" s="16">
        <f>IF(AND(K151&lt;&gt;"",L151&lt;&gt;""),L151-K151,"")</f>
        <v/>
      </c>
      <c r="N151" s="14">
        <f>IF(AND(H151&lt;&gt;"",I151&lt;&gt;""),I151-H151,"")</f>
        <v/>
      </c>
      <c r="O151" s="14">
        <f>IF(I151&lt;&gt;"",I151-TODAY(),"")</f>
        <v/>
      </c>
      <c r="P151" s="15">
        <f>IF(I151="","",IF(J151="Anual",I151+365,I151+30))</f>
        <v/>
      </c>
      <c r="Q151" s="14">
        <f>IF(I151="","",IF(O151&lt;0,"Vencida",IF(O151&lt;=3,"Por vencer","Activa")))</f>
        <v/>
      </c>
      <c r="R151" s="14" t="n"/>
      <c r="S151" s="14">
        <f>IF(OR(E151="",I151=""),"",HYPERLINK(IF(F151&lt;&gt;"","https://wa.me/"&amp;SUBSTITUTE(SUBSTITUTE(SUBSTITUTE(F151,"+",""),"-","")," ","")&amp;"?text="&amp;SUBSTITUTE(SUBSTITUTE("Hola "&amp;E151&amp;", tu cuenta de "&amp;A151&amp;" vence el "&amp;TEXT(I151,"dd/mm/yyyy")&amp;". Deseas renovarla?"," ","%20"),"?","%3F"),"https://api.whatsapp.com/send?text="&amp;SUBSTITUTE(SUBSTITUTE("Hola "&amp;E151&amp;", tu cuenta de "&amp;A151&amp;" vence el "&amp;TEXT(I151,"dd/mm/yyyy")&amp;". Deseas renovarla?"," ","%20"),"?","%3F")),"Enviar recordatorio"))</f>
        <v/>
      </c>
      <c r="T151" s="14" t="n"/>
    </row>
    <row r="152" ht="15" customHeight="1" s="28">
      <c r="A152" s="14" t="n"/>
      <c r="B152" s="14" t="n"/>
      <c r="C152" s="14" t="n"/>
      <c r="D152" s="14" t="n"/>
      <c r="E152" s="14" t="n"/>
      <c r="F152" s="14" t="n"/>
      <c r="G152" s="14" t="n"/>
      <c r="H152" s="15" t="n"/>
      <c r="I152" s="15" t="n"/>
      <c r="J152" s="14" t="n"/>
      <c r="K152" s="16">
        <f>IFERROR(VLOOKUP(A152,Precios!$A$5:$C$14,2,FALSE()),"")</f>
        <v/>
      </c>
      <c r="L152" s="16">
        <f>IFERROR(VLOOKUP(A152,Precios!$A$5:$C$14,3,FALSE()),"")</f>
        <v/>
      </c>
      <c r="M152" s="16">
        <f>IF(AND(K152&lt;&gt;"",L152&lt;&gt;""),L152-K152,"")</f>
        <v/>
      </c>
      <c r="N152" s="14">
        <f>IF(AND(H152&lt;&gt;"",I152&lt;&gt;""),I152-H152,"")</f>
        <v/>
      </c>
      <c r="O152" s="14">
        <f>IF(I152&lt;&gt;"",I152-TODAY(),"")</f>
        <v/>
      </c>
      <c r="P152" s="15">
        <f>IF(I152="","",IF(J152="Anual",I152+365,I152+30))</f>
        <v/>
      </c>
      <c r="Q152" s="14">
        <f>IF(I152="","",IF(O152&lt;0,"Vencida",IF(O152&lt;=3,"Por vencer","Activa")))</f>
        <v/>
      </c>
      <c r="R152" s="14" t="n"/>
      <c r="S152" s="14">
        <f>IF(OR(E152="",I152=""),"",HYPERLINK(IF(F152&lt;&gt;"","https://wa.me/"&amp;SUBSTITUTE(SUBSTITUTE(SUBSTITUTE(F152,"+",""),"-","")," ","")&amp;"?text="&amp;SUBSTITUTE(SUBSTITUTE("Hola "&amp;E152&amp;", tu cuenta de "&amp;A152&amp;" vence el "&amp;TEXT(I152,"dd/mm/yyyy")&amp;". Deseas renovarla?"," ","%20"),"?","%3F"),"https://api.whatsapp.com/send?text="&amp;SUBSTITUTE(SUBSTITUTE("Hola "&amp;E152&amp;", tu cuenta de "&amp;A152&amp;" vence el "&amp;TEXT(I152,"dd/mm/yyyy")&amp;". Deseas renovarla?"," ","%20"),"?","%3F")),"Enviar recordatorio"))</f>
        <v/>
      </c>
      <c r="T152" s="14" t="n"/>
    </row>
    <row r="153" ht="15" customHeight="1" s="28">
      <c r="A153" s="14" t="n"/>
      <c r="B153" s="14" t="n"/>
      <c r="C153" s="14" t="n"/>
      <c r="D153" s="14" t="n"/>
      <c r="E153" s="14" t="n"/>
      <c r="F153" s="14" t="n"/>
      <c r="G153" s="14" t="n"/>
      <c r="H153" s="15" t="n"/>
      <c r="I153" s="15" t="n"/>
      <c r="J153" s="14" t="n"/>
      <c r="K153" s="16">
        <f>IFERROR(VLOOKUP(A153,Precios!$A$5:$C$14,2,FALSE()),"")</f>
        <v/>
      </c>
      <c r="L153" s="16">
        <f>IFERROR(VLOOKUP(A153,Precios!$A$5:$C$14,3,FALSE()),"")</f>
        <v/>
      </c>
      <c r="M153" s="16">
        <f>IF(AND(K153&lt;&gt;"",L153&lt;&gt;""),L153-K153,"")</f>
        <v/>
      </c>
      <c r="N153" s="14">
        <f>IF(AND(H153&lt;&gt;"",I153&lt;&gt;""),I153-H153,"")</f>
        <v/>
      </c>
      <c r="O153" s="14">
        <f>IF(I153&lt;&gt;"",I153-TODAY(),"")</f>
        <v/>
      </c>
      <c r="P153" s="15">
        <f>IF(I153="","",IF(J153="Anual",I153+365,I153+30))</f>
        <v/>
      </c>
      <c r="Q153" s="14">
        <f>IF(I153="","",IF(O153&lt;0,"Vencida",IF(O153&lt;=3,"Por vencer","Activa")))</f>
        <v/>
      </c>
      <c r="R153" s="14" t="n"/>
      <c r="S153" s="14">
        <f>IF(OR(E153="",I153=""),"",HYPERLINK(IF(F153&lt;&gt;"","https://wa.me/"&amp;SUBSTITUTE(SUBSTITUTE(SUBSTITUTE(F153,"+",""),"-","")," ","")&amp;"?text="&amp;SUBSTITUTE(SUBSTITUTE("Hola "&amp;E153&amp;", tu cuenta de "&amp;A153&amp;" vence el "&amp;TEXT(I153,"dd/mm/yyyy")&amp;". Deseas renovarla?"," ","%20"),"?","%3F"),"https://api.whatsapp.com/send?text="&amp;SUBSTITUTE(SUBSTITUTE("Hola "&amp;E153&amp;", tu cuenta de "&amp;A153&amp;" vence el "&amp;TEXT(I153,"dd/mm/yyyy")&amp;". Deseas renovarla?"," ","%20"),"?","%3F")),"Enviar recordatorio"))</f>
        <v/>
      </c>
      <c r="T153" s="14" t="n"/>
    </row>
    <row r="154" ht="15" customHeight="1" s="28">
      <c r="A154" s="14" t="n"/>
      <c r="B154" s="14" t="n"/>
      <c r="C154" s="14" t="n"/>
      <c r="D154" s="14" t="n"/>
      <c r="E154" s="14" t="n"/>
      <c r="F154" s="14" t="n"/>
      <c r="G154" s="14" t="n"/>
      <c r="H154" s="15" t="n"/>
      <c r="I154" s="15" t="n"/>
      <c r="J154" s="14" t="n"/>
      <c r="K154" s="16">
        <f>IFERROR(VLOOKUP(A154,Precios!$A$5:$C$14,2,FALSE()),"")</f>
        <v/>
      </c>
      <c r="L154" s="16">
        <f>IFERROR(VLOOKUP(A154,Precios!$A$5:$C$14,3,FALSE()),"")</f>
        <v/>
      </c>
      <c r="M154" s="16">
        <f>IF(AND(K154&lt;&gt;"",L154&lt;&gt;""),L154-K154,"")</f>
        <v/>
      </c>
      <c r="N154" s="14">
        <f>IF(AND(H154&lt;&gt;"",I154&lt;&gt;""),I154-H154,"")</f>
        <v/>
      </c>
      <c r="O154" s="14">
        <f>IF(I154&lt;&gt;"",I154-TODAY(),"")</f>
        <v/>
      </c>
      <c r="P154" s="15">
        <f>IF(I154="","",IF(J154="Anual",I154+365,I154+30))</f>
        <v/>
      </c>
      <c r="Q154" s="14">
        <f>IF(I154="","",IF(O154&lt;0,"Vencida",IF(O154&lt;=3,"Por vencer","Activa")))</f>
        <v/>
      </c>
      <c r="R154" s="14" t="n"/>
      <c r="S154" s="14">
        <f>IF(OR(E154="",I154=""),"",HYPERLINK(IF(F154&lt;&gt;"","https://wa.me/"&amp;SUBSTITUTE(SUBSTITUTE(SUBSTITUTE(F154,"+",""),"-","")," ","")&amp;"?text="&amp;SUBSTITUTE(SUBSTITUTE("Hola "&amp;E154&amp;", tu cuenta de "&amp;A154&amp;" vence el "&amp;TEXT(I154,"dd/mm/yyyy")&amp;". Deseas renovarla?"," ","%20"),"?","%3F"),"https://api.whatsapp.com/send?text="&amp;SUBSTITUTE(SUBSTITUTE("Hola "&amp;E154&amp;", tu cuenta de "&amp;A154&amp;" vence el "&amp;TEXT(I154,"dd/mm/yyyy")&amp;". Deseas renovarla?"," ","%20"),"?","%3F")),"Enviar recordatorio"))</f>
        <v/>
      </c>
      <c r="T154" s="14" t="n"/>
    </row>
    <row r="155" ht="15" customHeight="1" s="28">
      <c r="A155" s="14" t="n"/>
      <c r="B155" s="14" t="n"/>
      <c r="C155" s="14" t="n"/>
      <c r="D155" s="14" t="n"/>
      <c r="E155" s="14" t="n"/>
      <c r="F155" s="14" t="n"/>
      <c r="G155" s="14" t="n"/>
      <c r="H155" s="15" t="n"/>
      <c r="I155" s="15" t="n"/>
      <c r="J155" s="14" t="n"/>
      <c r="K155" s="16">
        <f>IFERROR(VLOOKUP(A155,Precios!$A$5:$C$14,2,FALSE()),"")</f>
        <v/>
      </c>
      <c r="L155" s="16">
        <f>IFERROR(VLOOKUP(A155,Precios!$A$5:$C$14,3,FALSE()),"")</f>
        <v/>
      </c>
      <c r="M155" s="16">
        <f>IF(AND(K155&lt;&gt;"",L155&lt;&gt;""),L155-K155,"")</f>
        <v/>
      </c>
      <c r="N155" s="14">
        <f>IF(AND(H155&lt;&gt;"",I155&lt;&gt;""),I155-H155,"")</f>
        <v/>
      </c>
      <c r="O155" s="14">
        <f>IF(I155&lt;&gt;"",I155-TODAY(),"")</f>
        <v/>
      </c>
      <c r="P155" s="15">
        <f>IF(I155="","",IF(J155="Anual",I155+365,I155+30))</f>
        <v/>
      </c>
      <c r="Q155" s="14">
        <f>IF(I155="","",IF(O155&lt;0,"Vencida",IF(O155&lt;=3,"Por vencer","Activa")))</f>
        <v/>
      </c>
      <c r="R155" s="14" t="n"/>
      <c r="S155" s="14">
        <f>IF(OR(E155="",I155=""),"",HYPERLINK(IF(F155&lt;&gt;"","https://wa.me/"&amp;SUBSTITUTE(SUBSTITUTE(SUBSTITUTE(F155,"+",""),"-","")," ","")&amp;"?text="&amp;SUBSTITUTE(SUBSTITUTE("Hola "&amp;E155&amp;", tu cuenta de "&amp;A155&amp;" vence el "&amp;TEXT(I155,"dd/mm/yyyy")&amp;". Deseas renovarla?"," ","%20"),"?","%3F"),"https://api.whatsapp.com/send?text="&amp;SUBSTITUTE(SUBSTITUTE("Hola "&amp;E155&amp;", tu cuenta de "&amp;A155&amp;" vence el "&amp;TEXT(I155,"dd/mm/yyyy")&amp;". Deseas renovarla?"," ","%20"),"?","%3F")),"Enviar recordatorio"))</f>
        <v/>
      </c>
      <c r="T155" s="14" t="n"/>
    </row>
    <row r="156" ht="15" customHeight="1" s="28">
      <c r="A156" s="14" t="n"/>
      <c r="B156" s="14" t="n"/>
      <c r="C156" s="14" t="n"/>
      <c r="D156" s="14" t="n"/>
      <c r="E156" s="14" t="n"/>
      <c r="F156" s="14" t="n"/>
      <c r="G156" s="14" t="n"/>
      <c r="H156" s="15" t="n"/>
      <c r="I156" s="15" t="n"/>
      <c r="J156" s="14" t="n"/>
      <c r="K156" s="16">
        <f>IFERROR(VLOOKUP(A156,Precios!$A$5:$C$14,2,FALSE()),"")</f>
        <v/>
      </c>
      <c r="L156" s="16">
        <f>IFERROR(VLOOKUP(A156,Precios!$A$5:$C$14,3,FALSE()),"")</f>
        <v/>
      </c>
      <c r="M156" s="16">
        <f>IF(AND(K156&lt;&gt;"",L156&lt;&gt;""),L156-K156,"")</f>
        <v/>
      </c>
      <c r="N156" s="14">
        <f>IF(AND(H156&lt;&gt;"",I156&lt;&gt;""),I156-H156,"")</f>
        <v/>
      </c>
      <c r="O156" s="14">
        <f>IF(I156&lt;&gt;"",I156-TODAY(),"")</f>
        <v/>
      </c>
      <c r="P156" s="15">
        <f>IF(I156="","",IF(J156="Anual",I156+365,I156+30))</f>
        <v/>
      </c>
      <c r="Q156" s="14">
        <f>IF(I156="","",IF(O156&lt;0,"Vencida",IF(O156&lt;=3,"Por vencer","Activa")))</f>
        <v/>
      </c>
      <c r="R156" s="14" t="n"/>
      <c r="S156" s="14">
        <f>IF(OR(E156="",I156=""),"",HYPERLINK(IF(F156&lt;&gt;"","https://wa.me/"&amp;SUBSTITUTE(SUBSTITUTE(SUBSTITUTE(F156,"+",""),"-","")," ","")&amp;"?text="&amp;SUBSTITUTE(SUBSTITUTE("Hola "&amp;E156&amp;", tu cuenta de "&amp;A156&amp;" vence el "&amp;TEXT(I156,"dd/mm/yyyy")&amp;". Deseas renovarla?"," ","%20"),"?","%3F"),"https://api.whatsapp.com/send?text="&amp;SUBSTITUTE(SUBSTITUTE("Hola "&amp;E156&amp;", tu cuenta de "&amp;A156&amp;" vence el "&amp;TEXT(I156,"dd/mm/yyyy")&amp;". Deseas renovarla?"," ","%20"),"?","%3F")),"Enviar recordatorio"))</f>
        <v/>
      </c>
      <c r="T156" s="14" t="n"/>
    </row>
    <row r="157" ht="15" customHeight="1" s="28">
      <c r="A157" s="14" t="n"/>
      <c r="B157" s="14" t="n"/>
      <c r="C157" s="14" t="n"/>
      <c r="D157" s="14" t="n"/>
      <c r="E157" s="14" t="n"/>
      <c r="F157" s="14" t="n"/>
      <c r="G157" s="14" t="n"/>
      <c r="H157" s="15" t="n"/>
      <c r="I157" s="15" t="n"/>
      <c r="J157" s="14" t="n"/>
      <c r="K157" s="16">
        <f>IFERROR(VLOOKUP(A157,Precios!$A$5:$C$14,2,FALSE()),"")</f>
        <v/>
      </c>
      <c r="L157" s="16">
        <f>IFERROR(VLOOKUP(A157,Precios!$A$5:$C$14,3,FALSE()),"")</f>
        <v/>
      </c>
      <c r="M157" s="16">
        <f>IF(AND(K157&lt;&gt;"",L157&lt;&gt;""),L157-K157,"")</f>
        <v/>
      </c>
      <c r="N157" s="14">
        <f>IF(AND(H157&lt;&gt;"",I157&lt;&gt;""),I157-H157,"")</f>
        <v/>
      </c>
      <c r="O157" s="14">
        <f>IF(I157&lt;&gt;"",I157-TODAY(),"")</f>
        <v/>
      </c>
      <c r="P157" s="15">
        <f>IF(I157="","",IF(J157="Anual",I157+365,I157+30))</f>
        <v/>
      </c>
      <c r="Q157" s="14">
        <f>IF(I157="","",IF(O157&lt;0,"Vencida",IF(O157&lt;=3,"Por vencer","Activa")))</f>
        <v/>
      </c>
      <c r="R157" s="14" t="n"/>
      <c r="S157" s="14">
        <f>IF(OR(E157="",I157=""),"",HYPERLINK(IF(F157&lt;&gt;"","https://wa.me/"&amp;SUBSTITUTE(SUBSTITUTE(SUBSTITUTE(F157,"+",""),"-","")," ","")&amp;"?text="&amp;SUBSTITUTE(SUBSTITUTE("Hola "&amp;E157&amp;", tu cuenta de "&amp;A157&amp;" vence el "&amp;TEXT(I157,"dd/mm/yyyy")&amp;". Deseas renovarla?"," ","%20"),"?","%3F"),"https://api.whatsapp.com/send?text="&amp;SUBSTITUTE(SUBSTITUTE("Hola "&amp;E157&amp;", tu cuenta de "&amp;A157&amp;" vence el "&amp;TEXT(I157,"dd/mm/yyyy")&amp;". Deseas renovarla?"," ","%20"),"?","%3F")),"Enviar recordatorio"))</f>
        <v/>
      </c>
      <c r="T157" s="14" t="n"/>
    </row>
    <row r="158" ht="15" customHeight="1" s="28">
      <c r="A158" s="14" t="n"/>
      <c r="B158" s="14" t="n"/>
      <c r="C158" s="14" t="n"/>
      <c r="D158" s="14" t="n"/>
      <c r="E158" s="14" t="n"/>
      <c r="F158" s="14" t="n"/>
      <c r="G158" s="14" t="n"/>
      <c r="H158" s="15" t="n"/>
      <c r="I158" s="15" t="n"/>
      <c r="J158" s="14" t="n"/>
      <c r="K158" s="16">
        <f>IFERROR(VLOOKUP(A158,Precios!$A$5:$C$14,2,FALSE()),"")</f>
        <v/>
      </c>
      <c r="L158" s="16">
        <f>IFERROR(VLOOKUP(A158,Precios!$A$5:$C$14,3,FALSE()),"")</f>
        <v/>
      </c>
      <c r="M158" s="16">
        <f>IF(AND(K158&lt;&gt;"",L158&lt;&gt;""),L158-K158,"")</f>
        <v/>
      </c>
      <c r="N158" s="14">
        <f>IF(AND(H158&lt;&gt;"",I158&lt;&gt;""),I158-H158,"")</f>
        <v/>
      </c>
      <c r="O158" s="14">
        <f>IF(I158&lt;&gt;"",I158-TODAY(),"")</f>
        <v/>
      </c>
      <c r="P158" s="15">
        <f>IF(I158="","",IF(J158="Anual",I158+365,I158+30))</f>
        <v/>
      </c>
      <c r="Q158" s="14">
        <f>IF(I158="","",IF(O158&lt;0,"Vencida",IF(O158&lt;=3,"Por vencer","Activa")))</f>
        <v/>
      </c>
      <c r="R158" s="14" t="n"/>
      <c r="S158" s="14">
        <f>IF(OR(E158="",I158=""),"",HYPERLINK(IF(F158&lt;&gt;"","https://wa.me/"&amp;SUBSTITUTE(SUBSTITUTE(SUBSTITUTE(F158,"+",""),"-","")," ","")&amp;"?text="&amp;SUBSTITUTE(SUBSTITUTE("Hola "&amp;E158&amp;", tu cuenta de "&amp;A158&amp;" vence el "&amp;TEXT(I158,"dd/mm/yyyy")&amp;". Deseas renovarla?"," ","%20"),"?","%3F"),"https://api.whatsapp.com/send?text="&amp;SUBSTITUTE(SUBSTITUTE("Hola "&amp;E158&amp;", tu cuenta de "&amp;A158&amp;" vence el "&amp;TEXT(I158,"dd/mm/yyyy")&amp;". Deseas renovarla?"," ","%20"),"?","%3F")),"Enviar recordatorio"))</f>
        <v/>
      </c>
      <c r="T158" s="14" t="n"/>
    </row>
    <row r="159" ht="15" customHeight="1" s="28">
      <c r="A159" s="14" t="n"/>
      <c r="B159" s="14" t="n"/>
      <c r="C159" s="14" t="n"/>
      <c r="D159" s="14" t="n"/>
      <c r="E159" s="14" t="n"/>
      <c r="F159" s="14" t="n"/>
      <c r="G159" s="14" t="n"/>
      <c r="H159" s="15" t="n"/>
      <c r="I159" s="15" t="n"/>
      <c r="J159" s="14" t="n"/>
      <c r="K159" s="16">
        <f>IFERROR(VLOOKUP(A159,Precios!$A$5:$C$14,2,FALSE()),"")</f>
        <v/>
      </c>
      <c r="L159" s="16">
        <f>IFERROR(VLOOKUP(A159,Precios!$A$5:$C$14,3,FALSE()),"")</f>
        <v/>
      </c>
      <c r="M159" s="16">
        <f>IF(AND(K159&lt;&gt;"",L159&lt;&gt;""),L159-K159,"")</f>
        <v/>
      </c>
      <c r="N159" s="14">
        <f>IF(AND(H159&lt;&gt;"",I159&lt;&gt;""),I159-H159,"")</f>
        <v/>
      </c>
      <c r="O159" s="14">
        <f>IF(I159&lt;&gt;"",I159-TODAY(),"")</f>
        <v/>
      </c>
      <c r="P159" s="15">
        <f>IF(I159="","",IF(J159="Anual",I159+365,I159+30))</f>
        <v/>
      </c>
      <c r="Q159" s="14">
        <f>IF(I159="","",IF(O159&lt;0,"Vencida",IF(O159&lt;=3,"Por vencer","Activa")))</f>
        <v/>
      </c>
      <c r="R159" s="14" t="n"/>
      <c r="S159" s="14">
        <f>IF(OR(E159="",I159=""),"",HYPERLINK(IF(F159&lt;&gt;"","https://wa.me/"&amp;SUBSTITUTE(SUBSTITUTE(SUBSTITUTE(F159,"+",""),"-","")," ","")&amp;"?text="&amp;SUBSTITUTE(SUBSTITUTE("Hola "&amp;E159&amp;", tu cuenta de "&amp;A159&amp;" vence el "&amp;TEXT(I159,"dd/mm/yyyy")&amp;". Deseas renovarla?"," ","%20"),"?","%3F"),"https://api.whatsapp.com/send?text="&amp;SUBSTITUTE(SUBSTITUTE("Hola "&amp;E159&amp;", tu cuenta de "&amp;A159&amp;" vence el "&amp;TEXT(I159,"dd/mm/yyyy")&amp;". Deseas renovarla?"," ","%20"),"?","%3F")),"Enviar recordatorio"))</f>
        <v/>
      </c>
      <c r="T159" s="14" t="n"/>
    </row>
    <row r="160" ht="15" customHeight="1" s="28">
      <c r="A160" s="14" t="n"/>
      <c r="B160" s="14" t="n"/>
      <c r="C160" s="14" t="n"/>
      <c r="D160" s="14" t="n"/>
      <c r="E160" s="14" t="n"/>
      <c r="F160" s="14" t="n"/>
      <c r="G160" s="14" t="n"/>
      <c r="H160" s="15" t="n"/>
      <c r="I160" s="15" t="n"/>
      <c r="J160" s="14" t="n"/>
      <c r="K160" s="16">
        <f>IFERROR(VLOOKUP(A160,Precios!$A$5:$C$14,2,FALSE()),"")</f>
        <v/>
      </c>
      <c r="L160" s="16">
        <f>IFERROR(VLOOKUP(A160,Precios!$A$5:$C$14,3,FALSE()),"")</f>
        <v/>
      </c>
      <c r="M160" s="16">
        <f>IF(AND(K160&lt;&gt;"",L160&lt;&gt;""),L160-K160,"")</f>
        <v/>
      </c>
      <c r="N160" s="14">
        <f>IF(AND(H160&lt;&gt;"",I160&lt;&gt;""),I160-H160,"")</f>
        <v/>
      </c>
      <c r="O160" s="14">
        <f>IF(I160&lt;&gt;"",I160-TODAY(),"")</f>
        <v/>
      </c>
      <c r="P160" s="15">
        <f>IF(I160="","",IF(J160="Anual",I160+365,I160+30))</f>
        <v/>
      </c>
      <c r="Q160" s="14">
        <f>IF(I160="","",IF(O160&lt;0,"Vencida",IF(O160&lt;=3,"Por vencer","Activa")))</f>
        <v/>
      </c>
      <c r="R160" s="14" t="n"/>
      <c r="S160" s="14">
        <f>IF(OR(E160="",I160=""),"",HYPERLINK(IF(F160&lt;&gt;"","https://wa.me/"&amp;SUBSTITUTE(SUBSTITUTE(SUBSTITUTE(F160,"+",""),"-","")," ","")&amp;"?text="&amp;SUBSTITUTE(SUBSTITUTE("Hola "&amp;E160&amp;", tu cuenta de "&amp;A160&amp;" vence el "&amp;TEXT(I160,"dd/mm/yyyy")&amp;". Deseas renovarla?"," ","%20"),"?","%3F"),"https://api.whatsapp.com/send?text="&amp;SUBSTITUTE(SUBSTITUTE("Hola "&amp;E160&amp;", tu cuenta de "&amp;A160&amp;" vence el "&amp;TEXT(I160,"dd/mm/yyyy")&amp;". Deseas renovarla?"," ","%20"),"?","%3F")),"Enviar recordatorio"))</f>
        <v/>
      </c>
      <c r="T160" s="14" t="n"/>
    </row>
    <row r="161" ht="15" customHeight="1" s="28">
      <c r="A161" s="14" t="n"/>
      <c r="B161" s="14" t="n"/>
      <c r="C161" s="14" t="n"/>
      <c r="D161" s="14" t="n"/>
      <c r="E161" s="14" t="n"/>
      <c r="F161" s="14" t="n"/>
      <c r="G161" s="14" t="n"/>
      <c r="H161" s="15" t="n"/>
      <c r="I161" s="15" t="n"/>
      <c r="J161" s="14" t="n"/>
      <c r="K161" s="16">
        <f>IFERROR(VLOOKUP(A161,Precios!$A$5:$C$14,2,FALSE()),"")</f>
        <v/>
      </c>
      <c r="L161" s="16">
        <f>IFERROR(VLOOKUP(A161,Precios!$A$5:$C$14,3,FALSE()),"")</f>
        <v/>
      </c>
      <c r="M161" s="16">
        <f>IF(AND(K161&lt;&gt;"",L161&lt;&gt;""),L161-K161,"")</f>
        <v/>
      </c>
      <c r="N161" s="14">
        <f>IF(AND(H161&lt;&gt;"",I161&lt;&gt;""),I161-H161,"")</f>
        <v/>
      </c>
      <c r="O161" s="14">
        <f>IF(I161&lt;&gt;"",I161-TODAY(),"")</f>
        <v/>
      </c>
      <c r="P161" s="15">
        <f>IF(I161="","",IF(J161="Anual",I161+365,I161+30))</f>
        <v/>
      </c>
      <c r="Q161" s="14">
        <f>IF(I161="","",IF(O161&lt;0,"Vencida",IF(O161&lt;=3,"Por vencer","Activa")))</f>
        <v/>
      </c>
      <c r="R161" s="14" t="n"/>
      <c r="S161" s="14">
        <f>IF(OR(E161="",I161=""),"",HYPERLINK(IF(F161&lt;&gt;"","https://wa.me/"&amp;SUBSTITUTE(SUBSTITUTE(SUBSTITUTE(F161,"+",""),"-","")," ","")&amp;"?text="&amp;SUBSTITUTE(SUBSTITUTE("Hola "&amp;E161&amp;", tu cuenta de "&amp;A161&amp;" vence el "&amp;TEXT(I161,"dd/mm/yyyy")&amp;". Deseas renovarla?"," ","%20"),"?","%3F"),"https://api.whatsapp.com/send?text="&amp;SUBSTITUTE(SUBSTITUTE("Hola "&amp;E161&amp;", tu cuenta de "&amp;A161&amp;" vence el "&amp;TEXT(I161,"dd/mm/yyyy")&amp;". Deseas renovarla?"," ","%20"),"?","%3F")),"Enviar recordatorio"))</f>
        <v/>
      </c>
      <c r="T161" s="14" t="n"/>
    </row>
    <row r="162" ht="15" customHeight="1" s="28">
      <c r="A162" s="14" t="n"/>
      <c r="B162" s="14" t="n"/>
      <c r="C162" s="14" t="n"/>
      <c r="D162" s="14" t="n"/>
      <c r="E162" s="14" t="n"/>
      <c r="F162" s="14" t="n"/>
      <c r="G162" s="14" t="n"/>
      <c r="H162" s="15" t="n"/>
      <c r="I162" s="15" t="n"/>
      <c r="J162" s="14" t="n"/>
      <c r="K162" s="16">
        <f>IFERROR(VLOOKUP(A162,Precios!$A$5:$C$14,2,FALSE()),"")</f>
        <v/>
      </c>
      <c r="L162" s="16">
        <f>IFERROR(VLOOKUP(A162,Precios!$A$5:$C$14,3,FALSE()),"")</f>
        <v/>
      </c>
      <c r="M162" s="16">
        <f>IF(AND(K162&lt;&gt;"",L162&lt;&gt;""),L162-K162,"")</f>
        <v/>
      </c>
      <c r="N162" s="14">
        <f>IF(AND(H162&lt;&gt;"",I162&lt;&gt;""),I162-H162,"")</f>
        <v/>
      </c>
      <c r="O162" s="14">
        <f>IF(I162&lt;&gt;"",I162-TODAY(),"")</f>
        <v/>
      </c>
      <c r="P162" s="15">
        <f>IF(I162="","",IF(J162="Anual",I162+365,I162+30))</f>
        <v/>
      </c>
      <c r="Q162" s="14">
        <f>IF(I162="","",IF(O162&lt;0,"Vencida",IF(O162&lt;=3,"Por vencer","Activa")))</f>
        <v/>
      </c>
      <c r="R162" s="14" t="n"/>
      <c r="S162" s="14">
        <f>IF(OR(E162="",I162=""),"",HYPERLINK(IF(F162&lt;&gt;"","https://wa.me/"&amp;SUBSTITUTE(SUBSTITUTE(SUBSTITUTE(F162,"+",""),"-","")," ","")&amp;"?text="&amp;SUBSTITUTE(SUBSTITUTE("Hola "&amp;E162&amp;", tu cuenta de "&amp;A162&amp;" vence el "&amp;TEXT(I162,"dd/mm/yyyy")&amp;". Deseas renovarla?"," ","%20"),"?","%3F"),"https://api.whatsapp.com/send?text="&amp;SUBSTITUTE(SUBSTITUTE("Hola "&amp;E162&amp;", tu cuenta de "&amp;A162&amp;" vence el "&amp;TEXT(I162,"dd/mm/yyyy")&amp;". Deseas renovarla?"," ","%20"),"?","%3F")),"Enviar recordatorio"))</f>
        <v/>
      </c>
      <c r="T162" s="14" t="n"/>
    </row>
    <row r="163" ht="15" customHeight="1" s="28">
      <c r="A163" s="14" t="n"/>
      <c r="B163" s="14" t="n"/>
      <c r="C163" s="14" t="n"/>
      <c r="D163" s="14" t="n"/>
      <c r="E163" s="14" t="n"/>
      <c r="F163" s="14" t="n"/>
      <c r="G163" s="14" t="n"/>
      <c r="H163" s="15" t="n"/>
      <c r="I163" s="15" t="n"/>
      <c r="J163" s="14" t="n"/>
      <c r="K163" s="16">
        <f>IFERROR(VLOOKUP(A163,Precios!$A$5:$C$14,2,FALSE()),"")</f>
        <v/>
      </c>
      <c r="L163" s="16">
        <f>IFERROR(VLOOKUP(A163,Precios!$A$5:$C$14,3,FALSE()),"")</f>
        <v/>
      </c>
      <c r="M163" s="16">
        <f>IF(AND(K163&lt;&gt;"",L163&lt;&gt;""),L163-K163,"")</f>
        <v/>
      </c>
      <c r="N163" s="14">
        <f>IF(AND(H163&lt;&gt;"",I163&lt;&gt;""),I163-H163,"")</f>
        <v/>
      </c>
      <c r="O163" s="14">
        <f>IF(I163&lt;&gt;"",I163-TODAY(),"")</f>
        <v/>
      </c>
      <c r="P163" s="15">
        <f>IF(I163="","",IF(J163="Anual",I163+365,I163+30))</f>
        <v/>
      </c>
      <c r="Q163" s="14">
        <f>IF(I163="","",IF(O163&lt;0,"Vencida",IF(O163&lt;=3,"Por vencer","Activa")))</f>
        <v/>
      </c>
      <c r="R163" s="14" t="n"/>
      <c r="S163" s="14">
        <f>IF(OR(E163="",I163=""),"",HYPERLINK(IF(F163&lt;&gt;"","https://wa.me/"&amp;SUBSTITUTE(SUBSTITUTE(SUBSTITUTE(F163,"+",""),"-","")," ","")&amp;"?text="&amp;SUBSTITUTE(SUBSTITUTE("Hola "&amp;E163&amp;", tu cuenta de "&amp;A163&amp;" vence el "&amp;TEXT(I163,"dd/mm/yyyy")&amp;". Deseas renovarla?"," ","%20"),"?","%3F"),"https://api.whatsapp.com/send?text="&amp;SUBSTITUTE(SUBSTITUTE("Hola "&amp;E163&amp;", tu cuenta de "&amp;A163&amp;" vence el "&amp;TEXT(I163,"dd/mm/yyyy")&amp;". Deseas renovarla?"," ","%20"),"?","%3F")),"Enviar recordatorio"))</f>
        <v/>
      </c>
      <c r="T163" s="14" t="n"/>
    </row>
    <row r="164" ht="15" customHeight="1" s="28">
      <c r="A164" s="14" t="n"/>
      <c r="B164" s="14" t="n"/>
      <c r="C164" s="14" t="n"/>
      <c r="D164" s="14" t="n"/>
      <c r="E164" s="14" t="n"/>
      <c r="F164" s="14" t="n"/>
      <c r="G164" s="14" t="n"/>
      <c r="H164" s="15" t="n"/>
      <c r="I164" s="15" t="n"/>
      <c r="J164" s="14" t="n"/>
      <c r="K164" s="16">
        <f>IFERROR(VLOOKUP(A164,Precios!$A$5:$C$14,2,FALSE()),"")</f>
        <v/>
      </c>
      <c r="L164" s="16">
        <f>IFERROR(VLOOKUP(A164,Precios!$A$5:$C$14,3,FALSE()),"")</f>
        <v/>
      </c>
      <c r="M164" s="16">
        <f>IF(AND(K164&lt;&gt;"",L164&lt;&gt;""),L164-K164,"")</f>
        <v/>
      </c>
      <c r="N164" s="14">
        <f>IF(AND(H164&lt;&gt;"",I164&lt;&gt;""),I164-H164,"")</f>
        <v/>
      </c>
      <c r="O164" s="14">
        <f>IF(I164&lt;&gt;"",I164-TODAY(),"")</f>
        <v/>
      </c>
      <c r="P164" s="15">
        <f>IF(I164="","",IF(J164="Anual",I164+365,I164+30))</f>
        <v/>
      </c>
      <c r="Q164" s="14">
        <f>IF(I164="","",IF(O164&lt;0,"Vencida",IF(O164&lt;=3,"Por vencer","Activa")))</f>
        <v/>
      </c>
      <c r="R164" s="14" t="n"/>
      <c r="S164" s="14">
        <f>IF(OR(E164="",I164=""),"",HYPERLINK(IF(F164&lt;&gt;"","https://wa.me/"&amp;SUBSTITUTE(SUBSTITUTE(SUBSTITUTE(F164,"+",""),"-","")," ","")&amp;"?text="&amp;SUBSTITUTE(SUBSTITUTE("Hola "&amp;E164&amp;", tu cuenta de "&amp;A164&amp;" vence el "&amp;TEXT(I164,"dd/mm/yyyy")&amp;". Deseas renovarla?"," ","%20"),"?","%3F"),"https://api.whatsapp.com/send?text="&amp;SUBSTITUTE(SUBSTITUTE("Hola "&amp;E164&amp;", tu cuenta de "&amp;A164&amp;" vence el "&amp;TEXT(I164,"dd/mm/yyyy")&amp;". Deseas renovarla?"," ","%20"),"?","%3F")),"Enviar recordatorio"))</f>
        <v/>
      </c>
      <c r="T164" s="14" t="n"/>
    </row>
    <row r="165" ht="15" customHeight="1" s="28">
      <c r="A165" s="14" t="n"/>
      <c r="B165" s="14" t="n"/>
      <c r="C165" s="14" t="n"/>
      <c r="D165" s="14" t="n"/>
      <c r="E165" s="14" t="n"/>
      <c r="F165" s="14" t="n"/>
      <c r="G165" s="14" t="n"/>
      <c r="H165" s="15" t="n"/>
      <c r="I165" s="15" t="n"/>
      <c r="J165" s="14" t="n"/>
      <c r="K165" s="16">
        <f>IFERROR(VLOOKUP(A165,Precios!$A$5:$C$14,2,FALSE()),"")</f>
        <v/>
      </c>
      <c r="L165" s="16">
        <f>IFERROR(VLOOKUP(A165,Precios!$A$5:$C$14,3,FALSE()),"")</f>
        <v/>
      </c>
      <c r="M165" s="16">
        <f>IF(AND(K165&lt;&gt;"",L165&lt;&gt;""),L165-K165,"")</f>
        <v/>
      </c>
      <c r="N165" s="14">
        <f>IF(AND(H165&lt;&gt;"",I165&lt;&gt;""),I165-H165,"")</f>
        <v/>
      </c>
      <c r="O165" s="14">
        <f>IF(I165&lt;&gt;"",I165-TODAY(),"")</f>
        <v/>
      </c>
      <c r="P165" s="15">
        <f>IF(I165="","",IF(J165="Anual",I165+365,I165+30))</f>
        <v/>
      </c>
      <c r="Q165" s="14">
        <f>IF(I165="","",IF(O165&lt;0,"Vencida",IF(O165&lt;=3,"Por vencer","Activa")))</f>
        <v/>
      </c>
      <c r="R165" s="14" t="n"/>
      <c r="S165" s="14">
        <f>IF(OR(E165="",I165=""),"",HYPERLINK(IF(F165&lt;&gt;"","https://wa.me/"&amp;SUBSTITUTE(SUBSTITUTE(SUBSTITUTE(F165,"+",""),"-","")," ","")&amp;"?text="&amp;SUBSTITUTE(SUBSTITUTE("Hola "&amp;E165&amp;", tu cuenta de "&amp;A165&amp;" vence el "&amp;TEXT(I165,"dd/mm/yyyy")&amp;". Deseas renovarla?"," ","%20"),"?","%3F"),"https://api.whatsapp.com/send?text="&amp;SUBSTITUTE(SUBSTITUTE("Hola "&amp;E165&amp;", tu cuenta de "&amp;A165&amp;" vence el "&amp;TEXT(I165,"dd/mm/yyyy")&amp;". Deseas renovarla?"," ","%20"),"?","%3F")),"Enviar recordatorio"))</f>
        <v/>
      </c>
      <c r="T165" s="14" t="n"/>
    </row>
    <row r="166" ht="15" customHeight="1" s="28">
      <c r="A166" s="14" t="n"/>
      <c r="B166" s="14" t="n"/>
      <c r="C166" s="14" t="n"/>
      <c r="D166" s="14" t="n"/>
      <c r="E166" s="14" t="n"/>
      <c r="F166" s="14" t="n"/>
      <c r="G166" s="14" t="n"/>
      <c r="H166" s="15" t="n"/>
      <c r="I166" s="15" t="n"/>
      <c r="J166" s="14" t="n"/>
      <c r="K166" s="16">
        <f>IFERROR(VLOOKUP(A166,Precios!$A$5:$C$14,2,FALSE()),"")</f>
        <v/>
      </c>
      <c r="L166" s="16">
        <f>IFERROR(VLOOKUP(A166,Precios!$A$5:$C$14,3,FALSE()),"")</f>
        <v/>
      </c>
      <c r="M166" s="16">
        <f>IF(AND(K166&lt;&gt;"",L166&lt;&gt;""),L166-K166,"")</f>
        <v/>
      </c>
      <c r="N166" s="14">
        <f>IF(AND(H166&lt;&gt;"",I166&lt;&gt;""),I166-H166,"")</f>
        <v/>
      </c>
      <c r="O166" s="14">
        <f>IF(I166&lt;&gt;"",I166-TODAY(),"")</f>
        <v/>
      </c>
      <c r="P166" s="15">
        <f>IF(I166="","",IF(J166="Anual",I166+365,I166+30))</f>
        <v/>
      </c>
      <c r="Q166" s="14">
        <f>IF(I166="","",IF(O166&lt;0,"Vencida",IF(O166&lt;=3,"Por vencer","Activa")))</f>
        <v/>
      </c>
      <c r="R166" s="14" t="n"/>
      <c r="S166" s="14">
        <f>IF(OR(E166="",I166=""),"",HYPERLINK(IF(F166&lt;&gt;"","https://wa.me/"&amp;SUBSTITUTE(SUBSTITUTE(SUBSTITUTE(F166,"+",""),"-","")," ","")&amp;"?text="&amp;SUBSTITUTE(SUBSTITUTE("Hola "&amp;E166&amp;", tu cuenta de "&amp;A166&amp;" vence el "&amp;TEXT(I166,"dd/mm/yyyy")&amp;". Deseas renovarla?"," ","%20"),"?","%3F"),"https://api.whatsapp.com/send?text="&amp;SUBSTITUTE(SUBSTITUTE("Hola "&amp;E166&amp;", tu cuenta de "&amp;A166&amp;" vence el "&amp;TEXT(I166,"dd/mm/yyyy")&amp;". Deseas renovarla?"," ","%20"),"?","%3F")),"Enviar recordatorio"))</f>
        <v/>
      </c>
      <c r="T166" s="14" t="n"/>
    </row>
    <row r="167" ht="15" customHeight="1" s="28">
      <c r="A167" s="14" t="n"/>
      <c r="B167" s="14" t="n"/>
      <c r="C167" s="14" t="n"/>
      <c r="D167" s="14" t="n"/>
      <c r="E167" s="14" t="n"/>
      <c r="F167" s="14" t="n"/>
      <c r="G167" s="14" t="n"/>
      <c r="H167" s="15" t="n"/>
      <c r="I167" s="15" t="n"/>
      <c r="J167" s="14" t="n"/>
      <c r="K167" s="16">
        <f>IFERROR(VLOOKUP(A167,Precios!$A$5:$C$14,2,FALSE()),"")</f>
        <v/>
      </c>
      <c r="L167" s="16">
        <f>IFERROR(VLOOKUP(A167,Precios!$A$5:$C$14,3,FALSE()),"")</f>
        <v/>
      </c>
      <c r="M167" s="16">
        <f>IF(AND(K167&lt;&gt;"",L167&lt;&gt;""),L167-K167,"")</f>
        <v/>
      </c>
      <c r="N167" s="14">
        <f>IF(AND(H167&lt;&gt;"",I167&lt;&gt;""),I167-H167,"")</f>
        <v/>
      </c>
      <c r="O167" s="14">
        <f>IF(I167&lt;&gt;"",I167-TODAY(),"")</f>
        <v/>
      </c>
      <c r="P167" s="15">
        <f>IF(I167="","",IF(J167="Anual",I167+365,I167+30))</f>
        <v/>
      </c>
      <c r="Q167" s="14">
        <f>IF(I167="","",IF(O167&lt;0,"Vencida",IF(O167&lt;=3,"Por vencer","Activa")))</f>
        <v/>
      </c>
      <c r="R167" s="14" t="n"/>
      <c r="S167" s="14">
        <f>IF(OR(E167="",I167=""),"",HYPERLINK(IF(F167&lt;&gt;"","https://wa.me/"&amp;SUBSTITUTE(SUBSTITUTE(SUBSTITUTE(F167,"+",""),"-","")," ","")&amp;"?text="&amp;SUBSTITUTE(SUBSTITUTE("Hola "&amp;E167&amp;", tu cuenta de "&amp;A167&amp;" vence el "&amp;TEXT(I167,"dd/mm/yyyy")&amp;". Deseas renovarla?"," ","%20"),"?","%3F"),"https://api.whatsapp.com/send?text="&amp;SUBSTITUTE(SUBSTITUTE("Hola "&amp;E167&amp;", tu cuenta de "&amp;A167&amp;" vence el "&amp;TEXT(I167,"dd/mm/yyyy")&amp;". Deseas renovarla?"," ","%20"),"?","%3F")),"Enviar recordatorio"))</f>
        <v/>
      </c>
      <c r="T167" s="14" t="n"/>
    </row>
    <row r="168" ht="15" customHeight="1" s="28">
      <c r="A168" s="14" t="n"/>
      <c r="B168" s="14" t="n"/>
      <c r="C168" s="14" t="n"/>
      <c r="D168" s="14" t="n"/>
      <c r="E168" s="14" t="n"/>
      <c r="F168" s="14" t="n"/>
      <c r="G168" s="14" t="n"/>
      <c r="H168" s="15" t="n"/>
      <c r="I168" s="15" t="n"/>
      <c r="J168" s="14" t="n"/>
      <c r="K168" s="16">
        <f>IFERROR(VLOOKUP(A168,Precios!$A$5:$C$14,2,FALSE()),"")</f>
        <v/>
      </c>
      <c r="L168" s="16">
        <f>IFERROR(VLOOKUP(A168,Precios!$A$5:$C$14,3,FALSE()),"")</f>
        <v/>
      </c>
      <c r="M168" s="16">
        <f>IF(AND(K168&lt;&gt;"",L168&lt;&gt;""),L168-K168,"")</f>
        <v/>
      </c>
      <c r="N168" s="14">
        <f>IF(AND(H168&lt;&gt;"",I168&lt;&gt;""),I168-H168,"")</f>
        <v/>
      </c>
      <c r="O168" s="14">
        <f>IF(I168&lt;&gt;"",I168-TODAY(),"")</f>
        <v/>
      </c>
      <c r="P168" s="15">
        <f>IF(I168="","",IF(J168="Anual",I168+365,I168+30))</f>
        <v/>
      </c>
      <c r="Q168" s="14">
        <f>IF(I168="","",IF(O168&lt;0,"Vencida",IF(O168&lt;=3,"Por vencer","Activa")))</f>
        <v/>
      </c>
      <c r="R168" s="14" t="n"/>
      <c r="S168" s="14">
        <f>IF(OR(E168="",I168=""),"",HYPERLINK(IF(F168&lt;&gt;"","https://wa.me/"&amp;SUBSTITUTE(SUBSTITUTE(SUBSTITUTE(F168,"+",""),"-","")," ","")&amp;"?text="&amp;SUBSTITUTE(SUBSTITUTE("Hola "&amp;E168&amp;", tu cuenta de "&amp;A168&amp;" vence el "&amp;TEXT(I168,"dd/mm/yyyy")&amp;". Deseas renovarla?"," ","%20"),"?","%3F"),"https://api.whatsapp.com/send?text="&amp;SUBSTITUTE(SUBSTITUTE("Hola "&amp;E168&amp;", tu cuenta de "&amp;A168&amp;" vence el "&amp;TEXT(I168,"dd/mm/yyyy")&amp;". Deseas renovarla?"," ","%20"),"?","%3F")),"Enviar recordatorio"))</f>
        <v/>
      </c>
      <c r="T168" s="14" t="n"/>
    </row>
    <row r="169" ht="15" customHeight="1" s="28">
      <c r="A169" s="14" t="n"/>
      <c r="B169" s="14" t="n"/>
      <c r="C169" s="14" t="n"/>
      <c r="D169" s="14" t="n"/>
      <c r="E169" s="14" t="n"/>
      <c r="F169" s="14" t="n"/>
      <c r="G169" s="14" t="n"/>
      <c r="H169" s="15" t="n"/>
      <c r="I169" s="15" t="n"/>
      <c r="J169" s="14" t="n"/>
      <c r="K169" s="16">
        <f>IFERROR(VLOOKUP(A169,Precios!$A$5:$C$14,2,FALSE()),"")</f>
        <v/>
      </c>
      <c r="L169" s="16">
        <f>IFERROR(VLOOKUP(A169,Precios!$A$5:$C$14,3,FALSE()),"")</f>
        <v/>
      </c>
      <c r="M169" s="16">
        <f>IF(AND(K169&lt;&gt;"",L169&lt;&gt;""),L169-K169,"")</f>
        <v/>
      </c>
      <c r="N169" s="14">
        <f>IF(AND(H169&lt;&gt;"",I169&lt;&gt;""),I169-H169,"")</f>
        <v/>
      </c>
      <c r="O169" s="14">
        <f>IF(I169&lt;&gt;"",I169-TODAY(),"")</f>
        <v/>
      </c>
      <c r="P169" s="15">
        <f>IF(I169="","",IF(J169="Anual",I169+365,I169+30))</f>
        <v/>
      </c>
      <c r="Q169" s="14">
        <f>IF(I169="","",IF(O169&lt;0,"Vencida",IF(O169&lt;=3,"Por vencer","Activa")))</f>
        <v/>
      </c>
      <c r="R169" s="14" t="n"/>
      <c r="S169" s="14">
        <f>IF(OR(E169="",I169=""),"",HYPERLINK(IF(F169&lt;&gt;"","https://wa.me/"&amp;SUBSTITUTE(SUBSTITUTE(SUBSTITUTE(F169,"+",""),"-","")," ","")&amp;"?text="&amp;SUBSTITUTE(SUBSTITUTE("Hola "&amp;E169&amp;", tu cuenta de "&amp;A169&amp;" vence el "&amp;TEXT(I169,"dd/mm/yyyy")&amp;". Deseas renovarla?"," ","%20"),"?","%3F"),"https://api.whatsapp.com/send?text="&amp;SUBSTITUTE(SUBSTITUTE("Hola "&amp;E169&amp;", tu cuenta de "&amp;A169&amp;" vence el "&amp;TEXT(I169,"dd/mm/yyyy")&amp;". Deseas renovarla?"," ","%20"),"?","%3F")),"Enviar recordatorio"))</f>
        <v/>
      </c>
      <c r="T169" s="14" t="n"/>
    </row>
    <row r="170" ht="15" customHeight="1" s="28">
      <c r="A170" s="14" t="n"/>
      <c r="B170" s="14" t="n"/>
      <c r="C170" s="14" t="n"/>
      <c r="D170" s="14" t="n"/>
      <c r="E170" s="14" t="n"/>
      <c r="F170" s="14" t="n"/>
      <c r="G170" s="14" t="n"/>
      <c r="H170" s="15" t="n"/>
      <c r="I170" s="15" t="n"/>
      <c r="J170" s="14" t="n"/>
      <c r="K170" s="16">
        <f>IFERROR(VLOOKUP(A170,Precios!$A$5:$C$14,2,FALSE()),"")</f>
        <v/>
      </c>
      <c r="L170" s="16">
        <f>IFERROR(VLOOKUP(A170,Precios!$A$5:$C$14,3,FALSE()),"")</f>
        <v/>
      </c>
      <c r="M170" s="16">
        <f>IF(AND(K170&lt;&gt;"",L170&lt;&gt;""),L170-K170,"")</f>
        <v/>
      </c>
      <c r="N170" s="14">
        <f>IF(AND(H170&lt;&gt;"",I170&lt;&gt;""),I170-H170,"")</f>
        <v/>
      </c>
      <c r="O170" s="14">
        <f>IF(I170&lt;&gt;"",I170-TODAY(),"")</f>
        <v/>
      </c>
      <c r="P170" s="15">
        <f>IF(I170="","",IF(J170="Anual",I170+365,I170+30))</f>
        <v/>
      </c>
      <c r="Q170" s="14">
        <f>IF(I170="","",IF(O170&lt;0,"Vencida",IF(O170&lt;=3,"Por vencer","Activa")))</f>
        <v/>
      </c>
      <c r="R170" s="14" t="n"/>
      <c r="S170" s="14">
        <f>IF(OR(E170="",I170=""),"",HYPERLINK(IF(F170&lt;&gt;"","https://wa.me/"&amp;SUBSTITUTE(SUBSTITUTE(SUBSTITUTE(F170,"+",""),"-","")," ","")&amp;"?text="&amp;SUBSTITUTE(SUBSTITUTE("Hola "&amp;E170&amp;", tu cuenta de "&amp;A170&amp;" vence el "&amp;TEXT(I170,"dd/mm/yyyy")&amp;". Deseas renovarla?"," ","%20"),"?","%3F"),"https://api.whatsapp.com/send?text="&amp;SUBSTITUTE(SUBSTITUTE("Hola "&amp;E170&amp;", tu cuenta de "&amp;A170&amp;" vence el "&amp;TEXT(I170,"dd/mm/yyyy")&amp;". Deseas renovarla?"," ","%20"),"?","%3F")),"Enviar recordatorio"))</f>
        <v/>
      </c>
      <c r="T170" s="14" t="n"/>
    </row>
    <row r="171" ht="15" customHeight="1" s="28">
      <c r="A171" s="14" t="n"/>
      <c r="B171" s="14" t="n"/>
      <c r="C171" s="14" t="n"/>
      <c r="D171" s="14" t="n"/>
      <c r="E171" s="14" t="n"/>
      <c r="F171" s="14" t="n"/>
      <c r="G171" s="14" t="n"/>
      <c r="H171" s="15" t="n"/>
      <c r="I171" s="15" t="n"/>
      <c r="J171" s="14" t="n"/>
      <c r="K171" s="16">
        <f>IFERROR(VLOOKUP(A171,Precios!$A$5:$C$14,2,FALSE()),"")</f>
        <v/>
      </c>
      <c r="L171" s="16">
        <f>IFERROR(VLOOKUP(A171,Precios!$A$5:$C$14,3,FALSE()),"")</f>
        <v/>
      </c>
      <c r="M171" s="16">
        <f>IF(AND(K171&lt;&gt;"",L171&lt;&gt;""),L171-K171,"")</f>
        <v/>
      </c>
      <c r="N171" s="14">
        <f>IF(AND(H171&lt;&gt;"",I171&lt;&gt;""),I171-H171,"")</f>
        <v/>
      </c>
      <c r="O171" s="14">
        <f>IF(I171&lt;&gt;"",I171-TODAY(),"")</f>
        <v/>
      </c>
      <c r="P171" s="15">
        <f>IF(I171="","",IF(J171="Anual",I171+365,I171+30))</f>
        <v/>
      </c>
      <c r="Q171" s="14">
        <f>IF(I171="","",IF(O171&lt;0,"Vencida",IF(O171&lt;=3,"Por vencer","Activa")))</f>
        <v/>
      </c>
      <c r="R171" s="14" t="n"/>
      <c r="S171" s="14">
        <f>IF(OR(E171="",I171=""),"",HYPERLINK(IF(F171&lt;&gt;"","https://wa.me/"&amp;SUBSTITUTE(SUBSTITUTE(SUBSTITUTE(F171,"+",""),"-","")," ","")&amp;"?text="&amp;SUBSTITUTE(SUBSTITUTE("Hola "&amp;E171&amp;", tu cuenta de "&amp;A171&amp;" vence el "&amp;TEXT(I171,"dd/mm/yyyy")&amp;". Deseas renovarla?"," ","%20"),"?","%3F"),"https://api.whatsapp.com/send?text="&amp;SUBSTITUTE(SUBSTITUTE("Hola "&amp;E171&amp;", tu cuenta de "&amp;A171&amp;" vence el "&amp;TEXT(I171,"dd/mm/yyyy")&amp;". Deseas renovarla?"," ","%20"),"?","%3F")),"Enviar recordatorio"))</f>
        <v/>
      </c>
      <c r="T171" s="14" t="n"/>
    </row>
    <row r="172" ht="15" customHeight="1" s="28">
      <c r="A172" s="14" t="n"/>
      <c r="B172" s="14" t="n"/>
      <c r="C172" s="14" t="n"/>
      <c r="D172" s="14" t="n"/>
      <c r="E172" s="14" t="n"/>
      <c r="F172" s="14" t="n"/>
      <c r="G172" s="14" t="n"/>
      <c r="H172" s="15" t="n"/>
      <c r="I172" s="15" t="n"/>
      <c r="J172" s="14" t="n"/>
      <c r="K172" s="16">
        <f>IFERROR(VLOOKUP(A172,Precios!$A$5:$C$14,2,FALSE()),"")</f>
        <v/>
      </c>
      <c r="L172" s="16">
        <f>IFERROR(VLOOKUP(A172,Precios!$A$5:$C$14,3,FALSE()),"")</f>
        <v/>
      </c>
      <c r="M172" s="16">
        <f>IF(AND(K172&lt;&gt;"",L172&lt;&gt;""),L172-K172,"")</f>
        <v/>
      </c>
      <c r="N172" s="14">
        <f>IF(AND(H172&lt;&gt;"",I172&lt;&gt;""),I172-H172,"")</f>
        <v/>
      </c>
      <c r="O172" s="14">
        <f>IF(I172&lt;&gt;"",I172-TODAY(),"")</f>
        <v/>
      </c>
      <c r="P172" s="15">
        <f>IF(I172="","",IF(J172="Anual",I172+365,I172+30))</f>
        <v/>
      </c>
      <c r="Q172" s="14">
        <f>IF(I172="","",IF(O172&lt;0,"Vencida",IF(O172&lt;=3,"Por vencer","Activa")))</f>
        <v/>
      </c>
      <c r="R172" s="14" t="n"/>
      <c r="S172" s="14">
        <f>IF(OR(E172="",I172=""),"",HYPERLINK(IF(F172&lt;&gt;"","https://wa.me/"&amp;SUBSTITUTE(SUBSTITUTE(SUBSTITUTE(F172,"+",""),"-","")," ","")&amp;"?text="&amp;SUBSTITUTE(SUBSTITUTE("Hola "&amp;E172&amp;", tu cuenta de "&amp;A172&amp;" vence el "&amp;TEXT(I172,"dd/mm/yyyy")&amp;". Deseas renovarla?"," ","%20"),"?","%3F"),"https://api.whatsapp.com/send?text="&amp;SUBSTITUTE(SUBSTITUTE("Hola "&amp;E172&amp;", tu cuenta de "&amp;A172&amp;" vence el "&amp;TEXT(I172,"dd/mm/yyyy")&amp;". Deseas renovarla?"," ","%20"),"?","%3F")),"Enviar recordatorio"))</f>
        <v/>
      </c>
      <c r="T172" s="14" t="n"/>
    </row>
    <row r="173" ht="15" customHeight="1" s="28">
      <c r="A173" s="14" t="n"/>
      <c r="B173" s="14" t="n"/>
      <c r="C173" s="14" t="n"/>
      <c r="D173" s="14" t="n"/>
      <c r="E173" s="14" t="n"/>
      <c r="F173" s="14" t="n"/>
      <c r="G173" s="14" t="n"/>
      <c r="H173" s="15" t="n"/>
      <c r="I173" s="15" t="n"/>
      <c r="J173" s="14" t="n"/>
      <c r="K173" s="16">
        <f>IFERROR(VLOOKUP(A173,Precios!$A$5:$C$14,2,FALSE()),"")</f>
        <v/>
      </c>
      <c r="L173" s="16">
        <f>IFERROR(VLOOKUP(A173,Precios!$A$5:$C$14,3,FALSE()),"")</f>
        <v/>
      </c>
      <c r="M173" s="16">
        <f>IF(AND(K173&lt;&gt;"",L173&lt;&gt;""),L173-K173,"")</f>
        <v/>
      </c>
      <c r="N173" s="14">
        <f>IF(AND(H173&lt;&gt;"",I173&lt;&gt;""),I173-H173,"")</f>
        <v/>
      </c>
      <c r="O173" s="14">
        <f>IF(I173&lt;&gt;"",I173-TODAY(),"")</f>
        <v/>
      </c>
      <c r="P173" s="15">
        <f>IF(I173="","",IF(J173="Anual",I173+365,I173+30))</f>
        <v/>
      </c>
      <c r="Q173" s="14">
        <f>IF(I173="","",IF(O173&lt;0,"Vencida",IF(O173&lt;=3,"Por vencer","Activa")))</f>
        <v/>
      </c>
      <c r="R173" s="14" t="n"/>
      <c r="S173" s="14">
        <f>IF(OR(E173="",I173=""),"",HYPERLINK(IF(F173&lt;&gt;"","https://wa.me/"&amp;SUBSTITUTE(SUBSTITUTE(SUBSTITUTE(F173,"+",""),"-","")," ","")&amp;"?text="&amp;SUBSTITUTE(SUBSTITUTE("Hola "&amp;E173&amp;", tu cuenta de "&amp;A173&amp;" vence el "&amp;TEXT(I173,"dd/mm/yyyy")&amp;". Deseas renovarla?"," ","%20"),"?","%3F"),"https://api.whatsapp.com/send?text="&amp;SUBSTITUTE(SUBSTITUTE("Hola "&amp;E173&amp;", tu cuenta de "&amp;A173&amp;" vence el "&amp;TEXT(I173,"dd/mm/yyyy")&amp;". Deseas renovarla?"," ","%20"),"?","%3F")),"Enviar recordatorio"))</f>
        <v/>
      </c>
      <c r="T173" s="14" t="n"/>
    </row>
    <row r="174" ht="15" customHeight="1" s="28">
      <c r="A174" s="14" t="n"/>
      <c r="B174" s="14" t="n"/>
      <c r="C174" s="14" t="n"/>
      <c r="D174" s="14" t="n"/>
      <c r="E174" s="14" t="n"/>
      <c r="F174" s="14" t="n"/>
      <c r="G174" s="14" t="n"/>
      <c r="H174" s="15" t="n"/>
      <c r="I174" s="15" t="n"/>
      <c r="J174" s="14" t="n"/>
      <c r="K174" s="16">
        <f>IFERROR(VLOOKUP(A174,Precios!$A$5:$C$14,2,FALSE()),"")</f>
        <v/>
      </c>
      <c r="L174" s="16">
        <f>IFERROR(VLOOKUP(A174,Precios!$A$5:$C$14,3,FALSE()),"")</f>
        <v/>
      </c>
      <c r="M174" s="16">
        <f>IF(AND(K174&lt;&gt;"",L174&lt;&gt;""),L174-K174,"")</f>
        <v/>
      </c>
      <c r="N174" s="14">
        <f>IF(AND(H174&lt;&gt;"",I174&lt;&gt;""),I174-H174,"")</f>
        <v/>
      </c>
      <c r="O174" s="14">
        <f>IF(I174&lt;&gt;"",I174-TODAY(),"")</f>
        <v/>
      </c>
      <c r="P174" s="15">
        <f>IF(I174="","",IF(J174="Anual",I174+365,I174+30))</f>
        <v/>
      </c>
      <c r="Q174" s="14">
        <f>IF(I174="","",IF(O174&lt;0,"Vencida",IF(O174&lt;=3,"Por vencer","Activa")))</f>
        <v/>
      </c>
      <c r="R174" s="14" t="n"/>
      <c r="S174" s="14">
        <f>IF(OR(E174="",I174=""),"",HYPERLINK(IF(F174&lt;&gt;"","https://wa.me/"&amp;SUBSTITUTE(SUBSTITUTE(SUBSTITUTE(F174,"+",""),"-","")," ","")&amp;"?text="&amp;SUBSTITUTE(SUBSTITUTE("Hola "&amp;E174&amp;", tu cuenta de "&amp;A174&amp;" vence el "&amp;TEXT(I174,"dd/mm/yyyy")&amp;". Deseas renovarla?"," ","%20"),"?","%3F"),"https://api.whatsapp.com/send?text="&amp;SUBSTITUTE(SUBSTITUTE("Hola "&amp;E174&amp;", tu cuenta de "&amp;A174&amp;" vence el "&amp;TEXT(I174,"dd/mm/yyyy")&amp;". Deseas renovarla?"," ","%20"),"?","%3F")),"Enviar recordatorio"))</f>
        <v/>
      </c>
      <c r="T174" s="14" t="n"/>
    </row>
    <row r="175" ht="15" customHeight="1" s="28">
      <c r="A175" s="14" t="n"/>
      <c r="B175" s="14" t="n"/>
      <c r="C175" s="14" t="n"/>
      <c r="D175" s="14" t="n"/>
      <c r="E175" s="14" t="n"/>
      <c r="F175" s="14" t="n"/>
      <c r="G175" s="14" t="n"/>
      <c r="H175" s="15" t="n"/>
      <c r="I175" s="15" t="n"/>
      <c r="J175" s="14" t="n"/>
      <c r="K175" s="16">
        <f>IFERROR(VLOOKUP(A175,Precios!$A$5:$C$14,2,FALSE()),"")</f>
        <v/>
      </c>
      <c r="L175" s="16">
        <f>IFERROR(VLOOKUP(A175,Precios!$A$5:$C$14,3,FALSE()),"")</f>
        <v/>
      </c>
      <c r="M175" s="16">
        <f>IF(AND(K175&lt;&gt;"",L175&lt;&gt;""),L175-K175,"")</f>
        <v/>
      </c>
      <c r="N175" s="14">
        <f>IF(AND(H175&lt;&gt;"",I175&lt;&gt;""),I175-H175,"")</f>
        <v/>
      </c>
      <c r="O175" s="14">
        <f>IF(I175&lt;&gt;"",I175-TODAY(),"")</f>
        <v/>
      </c>
      <c r="P175" s="15">
        <f>IF(I175="","",IF(J175="Anual",I175+365,I175+30))</f>
        <v/>
      </c>
      <c r="Q175" s="14">
        <f>IF(I175="","",IF(O175&lt;0,"Vencida",IF(O175&lt;=3,"Por vencer","Activa")))</f>
        <v/>
      </c>
      <c r="R175" s="14" t="n"/>
      <c r="S175" s="14">
        <f>IF(OR(E175="",I175=""),"",HYPERLINK(IF(F175&lt;&gt;"","https://wa.me/"&amp;SUBSTITUTE(SUBSTITUTE(SUBSTITUTE(F175,"+",""),"-","")," ","")&amp;"?text="&amp;SUBSTITUTE(SUBSTITUTE("Hola "&amp;E175&amp;", tu cuenta de "&amp;A175&amp;" vence el "&amp;TEXT(I175,"dd/mm/yyyy")&amp;". Deseas renovarla?"," ","%20"),"?","%3F"),"https://api.whatsapp.com/send?text="&amp;SUBSTITUTE(SUBSTITUTE("Hola "&amp;E175&amp;", tu cuenta de "&amp;A175&amp;" vence el "&amp;TEXT(I175,"dd/mm/yyyy")&amp;". Deseas renovarla?"," ","%20"),"?","%3F")),"Enviar recordatorio"))</f>
        <v/>
      </c>
      <c r="T175" s="14" t="n"/>
    </row>
    <row r="176" ht="15" customHeight="1" s="28">
      <c r="A176" s="14" t="n"/>
      <c r="B176" s="14" t="n"/>
      <c r="C176" s="14" t="n"/>
      <c r="D176" s="14" t="n"/>
      <c r="E176" s="14" t="n"/>
      <c r="F176" s="14" t="n"/>
      <c r="G176" s="14" t="n"/>
      <c r="H176" s="15" t="n"/>
      <c r="I176" s="15" t="n"/>
      <c r="J176" s="14" t="n"/>
      <c r="K176" s="16">
        <f>IFERROR(VLOOKUP(A176,Precios!$A$5:$C$14,2,FALSE()),"")</f>
        <v/>
      </c>
      <c r="L176" s="16">
        <f>IFERROR(VLOOKUP(A176,Precios!$A$5:$C$14,3,FALSE()),"")</f>
        <v/>
      </c>
      <c r="M176" s="16">
        <f>IF(AND(K176&lt;&gt;"",L176&lt;&gt;""),L176-K176,"")</f>
        <v/>
      </c>
      <c r="N176" s="14">
        <f>IF(AND(H176&lt;&gt;"",I176&lt;&gt;""),I176-H176,"")</f>
        <v/>
      </c>
      <c r="O176" s="14">
        <f>IF(I176&lt;&gt;"",I176-TODAY(),"")</f>
        <v/>
      </c>
      <c r="P176" s="15">
        <f>IF(I176="","",IF(J176="Anual",I176+365,I176+30))</f>
        <v/>
      </c>
      <c r="Q176" s="14">
        <f>IF(I176="","",IF(O176&lt;0,"Vencida",IF(O176&lt;=3,"Por vencer","Activa")))</f>
        <v/>
      </c>
      <c r="R176" s="14" t="n"/>
      <c r="S176" s="14">
        <f>IF(OR(E176="",I176=""),"",HYPERLINK(IF(F176&lt;&gt;"","https://wa.me/"&amp;SUBSTITUTE(SUBSTITUTE(SUBSTITUTE(F176,"+",""),"-","")," ","")&amp;"?text="&amp;SUBSTITUTE(SUBSTITUTE("Hola "&amp;E176&amp;", tu cuenta de "&amp;A176&amp;" vence el "&amp;TEXT(I176,"dd/mm/yyyy")&amp;". Deseas renovarla?"," ","%20"),"?","%3F"),"https://api.whatsapp.com/send?text="&amp;SUBSTITUTE(SUBSTITUTE("Hola "&amp;E176&amp;", tu cuenta de "&amp;A176&amp;" vence el "&amp;TEXT(I176,"dd/mm/yyyy")&amp;". Deseas renovarla?"," ","%20"),"?","%3F")),"Enviar recordatorio"))</f>
        <v/>
      </c>
      <c r="T176" s="14" t="n"/>
    </row>
    <row r="177" ht="15" customHeight="1" s="28">
      <c r="A177" s="14" t="n"/>
      <c r="B177" s="14" t="n"/>
      <c r="C177" s="14" t="n"/>
      <c r="D177" s="14" t="n"/>
      <c r="E177" s="14" t="n"/>
      <c r="F177" s="14" t="n"/>
      <c r="G177" s="14" t="n"/>
      <c r="H177" s="15" t="n"/>
      <c r="I177" s="15" t="n"/>
      <c r="J177" s="14" t="n"/>
      <c r="K177" s="16">
        <f>IFERROR(VLOOKUP(A177,Precios!$A$5:$C$14,2,FALSE()),"")</f>
        <v/>
      </c>
      <c r="L177" s="16">
        <f>IFERROR(VLOOKUP(A177,Precios!$A$5:$C$14,3,FALSE()),"")</f>
        <v/>
      </c>
      <c r="M177" s="16">
        <f>IF(AND(K177&lt;&gt;"",L177&lt;&gt;""),L177-K177,"")</f>
        <v/>
      </c>
      <c r="N177" s="14">
        <f>IF(AND(H177&lt;&gt;"",I177&lt;&gt;""),I177-H177,"")</f>
        <v/>
      </c>
      <c r="O177" s="14">
        <f>IF(I177&lt;&gt;"",I177-TODAY(),"")</f>
        <v/>
      </c>
      <c r="P177" s="15">
        <f>IF(I177="","",IF(J177="Anual",I177+365,I177+30))</f>
        <v/>
      </c>
      <c r="Q177" s="14">
        <f>IF(I177="","",IF(O177&lt;0,"Vencida",IF(O177&lt;=3,"Por vencer","Activa")))</f>
        <v/>
      </c>
      <c r="R177" s="14" t="n"/>
      <c r="S177" s="14">
        <f>IF(OR(E177="",I177=""),"",HYPERLINK(IF(F177&lt;&gt;"","https://wa.me/"&amp;SUBSTITUTE(SUBSTITUTE(SUBSTITUTE(F177,"+",""),"-","")," ","")&amp;"?text="&amp;SUBSTITUTE(SUBSTITUTE("Hola "&amp;E177&amp;", tu cuenta de "&amp;A177&amp;" vence el "&amp;TEXT(I177,"dd/mm/yyyy")&amp;". Deseas renovarla?"," ","%20"),"?","%3F"),"https://api.whatsapp.com/send?text="&amp;SUBSTITUTE(SUBSTITUTE("Hola "&amp;E177&amp;", tu cuenta de "&amp;A177&amp;" vence el "&amp;TEXT(I177,"dd/mm/yyyy")&amp;". Deseas renovarla?"," ","%20"),"?","%3F")),"Enviar recordatorio"))</f>
        <v/>
      </c>
      <c r="T177" s="14" t="n"/>
    </row>
    <row r="178" ht="15" customHeight="1" s="28">
      <c r="A178" s="14" t="n"/>
      <c r="B178" s="14" t="n"/>
      <c r="C178" s="14" t="n"/>
      <c r="D178" s="14" t="n"/>
      <c r="E178" s="14" t="n"/>
      <c r="F178" s="14" t="n"/>
      <c r="G178" s="14" t="n"/>
      <c r="H178" s="15" t="n"/>
      <c r="I178" s="15" t="n"/>
      <c r="J178" s="14" t="n"/>
      <c r="K178" s="16">
        <f>IFERROR(VLOOKUP(A178,Precios!$A$5:$C$14,2,FALSE()),"")</f>
        <v/>
      </c>
      <c r="L178" s="16">
        <f>IFERROR(VLOOKUP(A178,Precios!$A$5:$C$14,3,FALSE()),"")</f>
        <v/>
      </c>
      <c r="M178" s="16">
        <f>IF(AND(K178&lt;&gt;"",L178&lt;&gt;""),L178-K178,"")</f>
        <v/>
      </c>
      <c r="N178" s="14">
        <f>IF(AND(H178&lt;&gt;"",I178&lt;&gt;""),I178-H178,"")</f>
        <v/>
      </c>
      <c r="O178" s="14">
        <f>IF(I178&lt;&gt;"",I178-TODAY(),"")</f>
        <v/>
      </c>
      <c r="P178" s="15">
        <f>IF(I178="","",IF(J178="Anual",I178+365,I178+30))</f>
        <v/>
      </c>
      <c r="Q178" s="14">
        <f>IF(I178="","",IF(O178&lt;0,"Vencida",IF(O178&lt;=3,"Por vencer","Activa")))</f>
        <v/>
      </c>
      <c r="R178" s="14" t="n"/>
      <c r="S178" s="14">
        <f>IF(OR(E178="",I178=""),"",HYPERLINK(IF(F178&lt;&gt;"","https://wa.me/"&amp;SUBSTITUTE(SUBSTITUTE(SUBSTITUTE(F178,"+",""),"-","")," ","")&amp;"?text="&amp;SUBSTITUTE(SUBSTITUTE("Hola "&amp;E178&amp;", tu cuenta de "&amp;A178&amp;" vence el "&amp;TEXT(I178,"dd/mm/yyyy")&amp;". Deseas renovarla?"," ","%20"),"?","%3F"),"https://api.whatsapp.com/send?text="&amp;SUBSTITUTE(SUBSTITUTE("Hola "&amp;E178&amp;", tu cuenta de "&amp;A178&amp;" vence el "&amp;TEXT(I178,"dd/mm/yyyy")&amp;". Deseas renovarla?"," ","%20"),"?","%3F")),"Enviar recordatorio"))</f>
        <v/>
      </c>
      <c r="T178" s="14" t="n"/>
    </row>
    <row r="179" ht="15" customHeight="1" s="28">
      <c r="A179" s="14" t="n"/>
      <c r="B179" s="14" t="n"/>
      <c r="C179" s="14" t="n"/>
      <c r="D179" s="14" t="n"/>
      <c r="E179" s="14" t="n"/>
      <c r="F179" s="14" t="n"/>
      <c r="G179" s="14" t="n"/>
      <c r="H179" s="15" t="n"/>
      <c r="I179" s="15" t="n"/>
      <c r="J179" s="14" t="n"/>
      <c r="K179" s="16">
        <f>IFERROR(VLOOKUP(A179,Precios!$A$5:$C$14,2,FALSE()),"")</f>
        <v/>
      </c>
      <c r="L179" s="16">
        <f>IFERROR(VLOOKUP(A179,Precios!$A$5:$C$14,3,FALSE()),"")</f>
        <v/>
      </c>
      <c r="M179" s="16">
        <f>IF(AND(K179&lt;&gt;"",L179&lt;&gt;""),L179-K179,"")</f>
        <v/>
      </c>
      <c r="N179" s="14">
        <f>IF(AND(H179&lt;&gt;"",I179&lt;&gt;""),I179-H179,"")</f>
        <v/>
      </c>
      <c r="O179" s="14">
        <f>IF(I179&lt;&gt;"",I179-TODAY(),"")</f>
        <v/>
      </c>
      <c r="P179" s="15">
        <f>IF(I179="","",IF(J179="Anual",I179+365,I179+30))</f>
        <v/>
      </c>
      <c r="Q179" s="14">
        <f>IF(I179="","",IF(O179&lt;0,"Vencida",IF(O179&lt;=3,"Por vencer","Activa")))</f>
        <v/>
      </c>
      <c r="R179" s="14" t="n"/>
      <c r="S179" s="14">
        <f>IF(OR(E179="",I179=""),"",HYPERLINK(IF(F179&lt;&gt;"","https://wa.me/"&amp;SUBSTITUTE(SUBSTITUTE(SUBSTITUTE(F179,"+",""),"-","")," ","")&amp;"?text="&amp;SUBSTITUTE(SUBSTITUTE("Hola "&amp;E179&amp;", tu cuenta de "&amp;A179&amp;" vence el "&amp;TEXT(I179,"dd/mm/yyyy")&amp;". Deseas renovarla?"," ","%20"),"?","%3F"),"https://api.whatsapp.com/send?text="&amp;SUBSTITUTE(SUBSTITUTE("Hola "&amp;E179&amp;", tu cuenta de "&amp;A179&amp;" vence el "&amp;TEXT(I179,"dd/mm/yyyy")&amp;". Deseas renovarla?"," ","%20"),"?","%3F")),"Enviar recordatorio"))</f>
        <v/>
      </c>
      <c r="T179" s="14" t="n"/>
    </row>
    <row r="180" ht="15" customHeight="1" s="28">
      <c r="A180" s="14" t="n"/>
      <c r="B180" s="14" t="n"/>
      <c r="C180" s="14" t="n"/>
      <c r="D180" s="14" t="n"/>
      <c r="E180" s="14" t="n"/>
      <c r="F180" s="14" t="n"/>
      <c r="G180" s="14" t="n"/>
      <c r="H180" s="15" t="n"/>
      <c r="I180" s="15" t="n"/>
      <c r="J180" s="14" t="n"/>
      <c r="K180" s="16">
        <f>IFERROR(VLOOKUP(A180,Precios!$A$5:$C$14,2,FALSE()),"")</f>
        <v/>
      </c>
      <c r="L180" s="16">
        <f>IFERROR(VLOOKUP(A180,Precios!$A$5:$C$14,3,FALSE()),"")</f>
        <v/>
      </c>
      <c r="M180" s="16">
        <f>IF(AND(K180&lt;&gt;"",L180&lt;&gt;""),L180-K180,"")</f>
        <v/>
      </c>
      <c r="N180" s="14">
        <f>IF(AND(H180&lt;&gt;"",I180&lt;&gt;""),I180-H180,"")</f>
        <v/>
      </c>
      <c r="O180" s="14">
        <f>IF(I180&lt;&gt;"",I180-TODAY(),"")</f>
        <v/>
      </c>
      <c r="P180" s="15">
        <f>IF(I180="","",IF(J180="Anual",I180+365,I180+30))</f>
        <v/>
      </c>
      <c r="Q180" s="14">
        <f>IF(I180="","",IF(O180&lt;0,"Vencida",IF(O180&lt;=3,"Por vencer","Activa")))</f>
        <v/>
      </c>
      <c r="R180" s="14" t="n"/>
      <c r="S180" s="14">
        <f>IF(OR(E180="",I180=""),"",HYPERLINK(IF(F180&lt;&gt;"","https://wa.me/"&amp;SUBSTITUTE(SUBSTITUTE(SUBSTITUTE(F180,"+",""),"-","")," ","")&amp;"?text="&amp;SUBSTITUTE(SUBSTITUTE("Hola "&amp;E180&amp;", tu cuenta de "&amp;A180&amp;" vence el "&amp;TEXT(I180,"dd/mm/yyyy")&amp;". Deseas renovarla?"," ","%20"),"?","%3F"),"https://api.whatsapp.com/send?text="&amp;SUBSTITUTE(SUBSTITUTE("Hola "&amp;E180&amp;", tu cuenta de "&amp;A180&amp;" vence el "&amp;TEXT(I180,"dd/mm/yyyy")&amp;". Deseas renovarla?"," ","%20"),"?","%3F")),"Enviar recordatorio"))</f>
        <v/>
      </c>
      <c r="T180" s="14" t="n"/>
    </row>
    <row r="181" ht="15" customHeight="1" s="28">
      <c r="A181" s="14" t="n"/>
      <c r="B181" s="14" t="n"/>
      <c r="C181" s="14" t="n"/>
      <c r="D181" s="14" t="n"/>
      <c r="E181" s="14" t="n"/>
      <c r="F181" s="14" t="n"/>
      <c r="G181" s="14" t="n"/>
      <c r="H181" s="15" t="n"/>
      <c r="I181" s="15" t="n"/>
      <c r="J181" s="14" t="n"/>
      <c r="K181" s="16">
        <f>IFERROR(VLOOKUP(A181,Precios!$A$5:$C$14,2,FALSE()),"")</f>
        <v/>
      </c>
      <c r="L181" s="16">
        <f>IFERROR(VLOOKUP(A181,Precios!$A$5:$C$14,3,FALSE()),"")</f>
        <v/>
      </c>
      <c r="M181" s="16">
        <f>IF(AND(K181&lt;&gt;"",L181&lt;&gt;""),L181-K181,"")</f>
        <v/>
      </c>
      <c r="N181" s="14">
        <f>IF(AND(H181&lt;&gt;"",I181&lt;&gt;""),I181-H181,"")</f>
        <v/>
      </c>
      <c r="O181" s="14">
        <f>IF(I181&lt;&gt;"",I181-TODAY(),"")</f>
        <v/>
      </c>
      <c r="P181" s="15">
        <f>IF(I181="","",IF(J181="Anual",I181+365,I181+30))</f>
        <v/>
      </c>
      <c r="Q181" s="14">
        <f>IF(I181="","",IF(O181&lt;0,"Vencida",IF(O181&lt;=3,"Por vencer","Activa")))</f>
        <v/>
      </c>
      <c r="R181" s="14" t="n"/>
      <c r="S181" s="14">
        <f>IF(OR(E181="",I181=""),"",HYPERLINK(IF(F181&lt;&gt;"","https://wa.me/"&amp;SUBSTITUTE(SUBSTITUTE(SUBSTITUTE(F181,"+",""),"-","")," ","")&amp;"?text="&amp;SUBSTITUTE(SUBSTITUTE("Hola "&amp;E181&amp;", tu cuenta de "&amp;A181&amp;" vence el "&amp;TEXT(I181,"dd/mm/yyyy")&amp;". Deseas renovarla?"," ","%20"),"?","%3F"),"https://api.whatsapp.com/send?text="&amp;SUBSTITUTE(SUBSTITUTE("Hola "&amp;E181&amp;", tu cuenta de "&amp;A181&amp;" vence el "&amp;TEXT(I181,"dd/mm/yyyy")&amp;". Deseas renovarla?"," ","%20"),"?","%3F")),"Enviar recordatorio"))</f>
        <v/>
      </c>
      <c r="T181" s="14" t="n"/>
    </row>
    <row r="182" ht="15" customHeight="1" s="28">
      <c r="A182" s="14" t="n"/>
      <c r="B182" s="14" t="n"/>
      <c r="C182" s="14" t="n"/>
      <c r="D182" s="14" t="n"/>
      <c r="E182" s="14" t="n"/>
      <c r="F182" s="14" t="n"/>
      <c r="G182" s="14" t="n"/>
      <c r="H182" s="15" t="n"/>
      <c r="I182" s="15" t="n"/>
      <c r="J182" s="14" t="n"/>
      <c r="K182" s="16">
        <f>IFERROR(VLOOKUP(A182,Precios!$A$5:$C$14,2,FALSE()),"")</f>
        <v/>
      </c>
      <c r="L182" s="16">
        <f>IFERROR(VLOOKUP(A182,Precios!$A$5:$C$14,3,FALSE()),"")</f>
        <v/>
      </c>
      <c r="M182" s="16">
        <f>IF(AND(K182&lt;&gt;"",L182&lt;&gt;""),L182-K182,"")</f>
        <v/>
      </c>
      <c r="N182" s="14">
        <f>IF(AND(H182&lt;&gt;"",I182&lt;&gt;""),I182-H182,"")</f>
        <v/>
      </c>
      <c r="O182" s="14">
        <f>IF(I182&lt;&gt;"",I182-TODAY(),"")</f>
        <v/>
      </c>
      <c r="P182" s="15">
        <f>IF(I182="","",IF(J182="Anual",I182+365,I182+30))</f>
        <v/>
      </c>
      <c r="Q182" s="14">
        <f>IF(I182="","",IF(O182&lt;0,"Vencida",IF(O182&lt;=3,"Por vencer","Activa")))</f>
        <v/>
      </c>
      <c r="R182" s="14" t="n"/>
      <c r="S182" s="14">
        <f>IF(OR(E182="",I182=""),"",HYPERLINK(IF(F182&lt;&gt;"","https://wa.me/"&amp;SUBSTITUTE(SUBSTITUTE(SUBSTITUTE(F182,"+",""),"-","")," ","")&amp;"?text="&amp;SUBSTITUTE(SUBSTITUTE("Hola "&amp;E182&amp;", tu cuenta de "&amp;A182&amp;" vence el "&amp;TEXT(I182,"dd/mm/yyyy")&amp;". Deseas renovarla?"," ","%20"),"?","%3F"),"https://api.whatsapp.com/send?text="&amp;SUBSTITUTE(SUBSTITUTE("Hola "&amp;E182&amp;", tu cuenta de "&amp;A182&amp;" vence el "&amp;TEXT(I182,"dd/mm/yyyy")&amp;". Deseas renovarla?"," ","%20"),"?","%3F")),"Enviar recordatorio"))</f>
        <v/>
      </c>
      <c r="T182" s="14" t="n"/>
    </row>
    <row r="183" ht="15" customHeight="1" s="28">
      <c r="A183" s="14" t="n"/>
      <c r="B183" s="14" t="n"/>
      <c r="C183" s="14" t="n"/>
      <c r="D183" s="14" t="n"/>
      <c r="E183" s="14" t="n"/>
      <c r="F183" s="14" t="n"/>
      <c r="G183" s="14" t="n"/>
      <c r="H183" s="15" t="n"/>
      <c r="I183" s="15" t="n"/>
      <c r="J183" s="14" t="n"/>
      <c r="K183" s="16">
        <f>IFERROR(VLOOKUP(A183,Precios!$A$5:$C$14,2,FALSE()),"")</f>
        <v/>
      </c>
      <c r="L183" s="16">
        <f>IFERROR(VLOOKUP(A183,Precios!$A$5:$C$14,3,FALSE()),"")</f>
        <v/>
      </c>
      <c r="M183" s="16">
        <f>IF(AND(K183&lt;&gt;"",L183&lt;&gt;""),L183-K183,"")</f>
        <v/>
      </c>
      <c r="N183" s="14">
        <f>IF(AND(H183&lt;&gt;"",I183&lt;&gt;""),I183-H183,"")</f>
        <v/>
      </c>
      <c r="O183" s="14">
        <f>IF(I183&lt;&gt;"",I183-TODAY(),"")</f>
        <v/>
      </c>
      <c r="P183" s="15">
        <f>IF(I183="","",IF(J183="Anual",I183+365,I183+30))</f>
        <v/>
      </c>
      <c r="Q183" s="14">
        <f>IF(I183="","",IF(O183&lt;0,"Vencida",IF(O183&lt;=3,"Por vencer","Activa")))</f>
        <v/>
      </c>
      <c r="R183" s="14" t="n"/>
      <c r="S183" s="14">
        <f>IF(OR(E183="",I183=""),"",HYPERLINK(IF(F183&lt;&gt;"","https://wa.me/"&amp;SUBSTITUTE(SUBSTITUTE(SUBSTITUTE(F183,"+",""),"-","")," ","")&amp;"?text="&amp;SUBSTITUTE(SUBSTITUTE("Hola "&amp;E183&amp;", tu cuenta de "&amp;A183&amp;" vence el "&amp;TEXT(I183,"dd/mm/yyyy")&amp;". Deseas renovarla?"," ","%20"),"?","%3F"),"https://api.whatsapp.com/send?text="&amp;SUBSTITUTE(SUBSTITUTE("Hola "&amp;E183&amp;", tu cuenta de "&amp;A183&amp;" vence el "&amp;TEXT(I183,"dd/mm/yyyy")&amp;". Deseas renovarla?"," ","%20"),"?","%3F")),"Enviar recordatorio"))</f>
        <v/>
      </c>
      <c r="T183" s="14" t="n"/>
    </row>
    <row r="184" ht="15" customHeight="1" s="28">
      <c r="A184" s="14" t="n"/>
      <c r="B184" s="14" t="n"/>
      <c r="C184" s="14" t="n"/>
      <c r="D184" s="14" t="n"/>
      <c r="E184" s="14" t="n"/>
      <c r="F184" s="14" t="n"/>
      <c r="G184" s="14" t="n"/>
      <c r="H184" s="15" t="n"/>
      <c r="I184" s="15" t="n"/>
      <c r="J184" s="14" t="n"/>
      <c r="K184" s="16">
        <f>IFERROR(VLOOKUP(A184,Precios!$A$5:$C$14,2,FALSE()),"")</f>
        <v/>
      </c>
      <c r="L184" s="16">
        <f>IFERROR(VLOOKUP(A184,Precios!$A$5:$C$14,3,FALSE()),"")</f>
        <v/>
      </c>
      <c r="M184" s="16">
        <f>IF(AND(K184&lt;&gt;"",L184&lt;&gt;""),L184-K184,"")</f>
        <v/>
      </c>
      <c r="N184" s="14">
        <f>IF(AND(H184&lt;&gt;"",I184&lt;&gt;""),I184-H184,"")</f>
        <v/>
      </c>
      <c r="O184" s="14">
        <f>IF(I184&lt;&gt;"",I184-TODAY(),"")</f>
        <v/>
      </c>
      <c r="P184" s="15">
        <f>IF(I184="","",IF(J184="Anual",I184+365,I184+30))</f>
        <v/>
      </c>
      <c r="Q184" s="14">
        <f>IF(I184="","",IF(O184&lt;0,"Vencida",IF(O184&lt;=3,"Por vencer","Activa")))</f>
        <v/>
      </c>
      <c r="R184" s="14" t="n"/>
      <c r="S184" s="14">
        <f>IF(OR(E184="",I184=""),"",HYPERLINK(IF(F184&lt;&gt;"","https://wa.me/"&amp;SUBSTITUTE(SUBSTITUTE(SUBSTITUTE(F184,"+",""),"-","")," ","")&amp;"?text="&amp;SUBSTITUTE(SUBSTITUTE("Hola "&amp;E184&amp;", tu cuenta de "&amp;A184&amp;" vence el "&amp;TEXT(I184,"dd/mm/yyyy")&amp;". Deseas renovarla?"," ","%20"),"?","%3F"),"https://api.whatsapp.com/send?text="&amp;SUBSTITUTE(SUBSTITUTE("Hola "&amp;E184&amp;", tu cuenta de "&amp;A184&amp;" vence el "&amp;TEXT(I184,"dd/mm/yyyy")&amp;". Deseas renovarla?"," ","%20"),"?","%3F")),"Enviar recordatorio"))</f>
        <v/>
      </c>
      <c r="T184" s="14" t="n"/>
    </row>
    <row r="185" ht="15" customHeight="1" s="28">
      <c r="A185" s="14" t="n"/>
      <c r="B185" s="14" t="n"/>
      <c r="C185" s="14" t="n"/>
      <c r="D185" s="14" t="n"/>
      <c r="E185" s="14" t="n"/>
      <c r="F185" s="14" t="n"/>
      <c r="G185" s="14" t="n"/>
      <c r="H185" s="15" t="n"/>
      <c r="I185" s="15" t="n"/>
      <c r="J185" s="14" t="n"/>
      <c r="K185" s="16">
        <f>IFERROR(VLOOKUP(A185,Precios!$A$5:$C$14,2,FALSE()),"")</f>
        <v/>
      </c>
      <c r="L185" s="16">
        <f>IFERROR(VLOOKUP(A185,Precios!$A$5:$C$14,3,FALSE()),"")</f>
        <v/>
      </c>
      <c r="M185" s="16">
        <f>IF(AND(K185&lt;&gt;"",L185&lt;&gt;""),L185-K185,"")</f>
        <v/>
      </c>
      <c r="N185" s="14">
        <f>IF(AND(H185&lt;&gt;"",I185&lt;&gt;""),I185-H185,"")</f>
        <v/>
      </c>
      <c r="O185" s="14">
        <f>IF(I185&lt;&gt;"",I185-TODAY(),"")</f>
        <v/>
      </c>
      <c r="P185" s="15">
        <f>IF(I185="","",IF(J185="Anual",I185+365,I185+30))</f>
        <v/>
      </c>
      <c r="Q185" s="14">
        <f>IF(I185="","",IF(O185&lt;0,"Vencida",IF(O185&lt;=3,"Por vencer","Activa")))</f>
        <v/>
      </c>
      <c r="R185" s="14" t="n"/>
      <c r="S185" s="14">
        <f>IF(OR(E185="",I185=""),"",HYPERLINK(IF(F185&lt;&gt;"","https://wa.me/"&amp;SUBSTITUTE(SUBSTITUTE(SUBSTITUTE(F185,"+",""),"-","")," ","")&amp;"?text="&amp;SUBSTITUTE(SUBSTITUTE("Hola "&amp;E185&amp;", tu cuenta de "&amp;A185&amp;" vence el "&amp;TEXT(I185,"dd/mm/yyyy")&amp;". Deseas renovarla?"," ","%20"),"?","%3F"),"https://api.whatsapp.com/send?text="&amp;SUBSTITUTE(SUBSTITUTE("Hola "&amp;E185&amp;", tu cuenta de "&amp;A185&amp;" vence el "&amp;TEXT(I185,"dd/mm/yyyy")&amp;". Deseas renovarla?"," ","%20"),"?","%3F")),"Enviar recordatorio"))</f>
        <v/>
      </c>
      <c r="T185" s="14" t="n"/>
    </row>
    <row r="186" ht="15" customHeight="1" s="28">
      <c r="A186" s="14" t="n"/>
      <c r="B186" s="14" t="n"/>
      <c r="C186" s="14" t="n"/>
      <c r="D186" s="14" t="n"/>
      <c r="E186" s="14" t="n"/>
      <c r="F186" s="14" t="n"/>
      <c r="G186" s="14" t="n"/>
      <c r="H186" s="15" t="n"/>
      <c r="I186" s="15" t="n"/>
      <c r="J186" s="14" t="n"/>
      <c r="K186" s="16">
        <f>IFERROR(VLOOKUP(A186,Precios!$A$5:$C$14,2,FALSE()),"")</f>
        <v/>
      </c>
      <c r="L186" s="16">
        <f>IFERROR(VLOOKUP(A186,Precios!$A$5:$C$14,3,FALSE()),"")</f>
        <v/>
      </c>
      <c r="M186" s="16">
        <f>IF(AND(K186&lt;&gt;"",L186&lt;&gt;""),L186-K186,"")</f>
        <v/>
      </c>
      <c r="N186" s="14">
        <f>IF(AND(H186&lt;&gt;"",I186&lt;&gt;""),I186-H186,"")</f>
        <v/>
      </c>
      <c r="O186" s="14">
        <f>IF(I186&lt;&gt;"",I186-TODAY(),"")</f>
        <v/>
      </c>
      <c r="P186" s="15">
        <f>IF(I186="","",IF(J186="Anual",I186+365,I186+30))</f>
        <v/>
      </c>
      <c r="Q186" s="14">
        <f>IF(I186="","",IF(O186&lt;0,"Vencida",IF(O186&lt;=3,"Por vencer","Activa")))</f>
        <v/>
      </c>
      <c r="R186" s="14" t="n"/>
      <c r="S186" s="14">
        <f>IF(OR(E186="",I186=""),"",HYPERLINK(IF(F186&lt;&gt;"","https://wa.me/"&amp;SUBSTITUTE(SUBSTITUTE(SUBSTITUTE(F186,"+",""),"-","")," ","")&amp;"?text="&amp;SUBSTITUTE(SUBSTITUTE("Hola "&amp;E186&amp;", tu cuenta de "&amp;A186&amp;" vence el "&amp;TEXT(I186,"dd/mm/yyyy")&amp;". Deseas renovarla?"," ","%20"),"?","%3F"),"https://api.whatsapp.com/send?text="&amp;SUBSTITUTE(SUBSTITUTE("Hola "&amp;E186&amp;", tu cuenta de "&amp;A186&amp;" vence el "&amp;TEXT(I186,"dd/mm/yyyy")&amp;". Deseas renovarla?"," ","%20"),"?","%3F")),"Enviar recordatorio"))</f>
        <v/>
      </c>
      <c r="T186" s="14" t="n"/>
    </row>
    <row r="187" ht="15" customHeight="1" s="28">
      <c r="A187" s="14" t="n"/>
      <c r="B187" s="14" t="n"/>
      <c r="C187" s="14" t="n"/>
      <c r="D187" s="14" t="n"/>
      <c r="E187" s="14" t="n"/>
      <c r="F187" s="14" t="n"/>
      <c r="G187" s="14" t="n"/>
      <c r="H187" s="15" t="n"/>
      <c r="I187" s="15" t="n"/>
      <c r="J187" s="14" t="n"/>
      <c r="K187" s="16">
        <f>IFERROR(VLOOKUP(A187,Precios!$A$5:$C$14,2,FALSE()),"")</f>
        <v/>
      </c>
      <c r="L187" s="16">
        <f>IFERROR(VLOOKUP(A187,Precios!$A$5:$C$14,3,FALSE()),"")</f>
        <v/>
      </c>
      <c r="M187" s="16">
        <f>IF(AND(K187&lt;&gt;"",L187&lt;&gt;""),L187-K187,"")</f>
        <v/>
      </c>
      <c r="N187" s="14">
        <f>IF(AND(H187&lt;&gt;"",I187&lt;&gt;""),I187-H187,"")</f>
        <v/>
      </c>
      <c r="O187" s="14">
        <f>IF(I187&lt;&gt;"",I187-TODAY(),"")</f>
        <v/>
      </c>
      <c r="P187" s="15">
        <f>IF(I187="","",IF(J187="Anual",I187+365,I187+30))</f>
        <v/>
      </c>
      <c r="Q187" s="14">
        <f>IF(I187="","",IF(O187&lt;0,"Vencida",IF(O187&lt;=3,"Por vencer","Activa")))</f>
        <v/>
      </c>
      <c r="R187" s="14" t="n"/>
      <c r="S187" s="14">
        <f>IF(OR(E187="",I187=""),"",HYPERLINK(IF(F187&lt;&gt;"","https://wa.me/"&amp;SUBSTITUTE(SUBSTITUTE(SUBSTITUTE(F187,"+",""),"-","")," ","")&amp;"?text="&amp;SUBSTITUTE(SUBSTITUTE("Hola "&amp;E187&amp;", tu cuenta de "&amp;A187&amp;" vence el "&amp;TEXT(I187,"dd/mm/yyyy")&amp;". Deseas renovarla?"," ","%20"),"?","%3F"),"https://api.whatsapp.com/send?text="&amp;SUBSTITUTE(SUBSTITUTE("Hola "&amp;E187&amp;", tu cuenta de "&amp;A187&amp;" vence el "&amp;TEXT(I187,"dd/mm/yyyy")&amp;". Deseas renovarla?"," ","%20"),"?","%3F")),"Enviar recordatorio"))</f>
        <v/>
      </c>
      <c r="T187" s="14" t="n"/>
    </row>
    <row r="188" ht="15" customHeight="1" s="28">
      <c r="A188" s="14" t="n"/>
      <c r="B188" s="14" t="n"/>
      <c r="C188" s="14" t="n"/>
      <c r="D188" s="14" t="n"/>
      <c r="E188" s="14" t="n"/>
      <c r="F188" s="14" t="n"/>
      <c r="G188" s="14" t="n"/>
      <c r="H188" s="15" t="n"/>
      <c r="I188" s="15" t="n"/>
      <c r="J188" s="14" t="n"/>
      <c r="K188" s="16">
        <f>IFERROR(VLOOKUP(A188,Precios!$A$5:$C$14,2,FALSE()),"")</f>
        <v/>
      </c>
      <c r="L188" s="16">
        <f>IFERROR(VLOOKUP(A188,Precios!$A$5:$C$14,3,FALSE()),"")</f>
        <v/>
      </c>
      <c r="M188" s="16">
        <f>IF(AND(K188&lt;&gt;"",L188&lt;&gt;""),L188-K188,"")</f>
        <v/>
      </c>
      <c r="N188" s="14">
        <f>IF(AND(H188&lt;&gt;"",I188&lt;&gt;""),I188-H188,"")</f>
        <v/>
      </c>
      <c r="O188" s="14">
        <f>IF(I188&lt;&gt;"",I188-TODAY(),"")</f>
        <v/>
      </c>
      <c r="P188" s="15">
        <f>IF(I188="","",IF(J188="Anual",I188+365,I188+30))</f>
        <v/>
      </c>
      <c r="Q188" s="14">
        <f>IF(I188="","",IF(O188&lt;0,"Vencida",IF(O188&lt;=3,"Por vencer","Activa")))</f>
        <v/>
      </c>
      <c r="R188" s="14" t="n"/>
      <c r="S188" s="14">
        <f>IF(OR(E188="",I188=""),"",HYPERLINK(IF(F188&lt;&gt;"","https://wa.me/"&amp;SUBSTITUTE(SUBSTITUTE(SUBSTITUTE(F188,"+",""),"-","")," ","")&amp;"?text="&amp;SUBSTITUTE(SUBSTITUTE("Hola "&amp;E188&amp;", tu cuenta de "&amp;A188&amp;" vence el "&amp;TEXT(I188,"dd/mm/yyyy")&amp;". Deseas renovarla?"," ","%20"),"?","%3F"),"https://api.whatsapp.com/send?text="&amp;SUBSTITUTE(SUBSTITUTE("Hola "&amp;E188&amp;", tu cuenta de "&amp;A188&amp;" vence el "&amp;TEXT(I188,"dd/mm/yyyy")&amp;". Deseas renovarla?"," ","%20"),"?","%3F")),"Enviar recordatorio"))</f>
        <v/>
      </c>
      <c r="T188" s="14" t="n"/>
    </row>
    <row r="189" ht="15" customHeight="1" s="28">
      <c r="A189" s="14" t="n"/>
      <c r="B189" s="14" t="n"/>
      <c r="C189" s="14" t="n"/>
      <c r="D189" s="14" t="n"/>
      <c r="E189" s="14" t="n"/>
      <c r="F189" s="14" t="n"/>
      <c r="G189" s="14" t="n"/>
      <c r="H189" s="15" t="n"/>
      <c r="I189" s="15" t="n"/>
      <c r="J189" s="14" t="n"/>
      <c r="K189" s="16">
        <f>IFERROR(VLOOKUP(A189,Precios!$A$5:$C$14,2,FALSE()),"")</f>
        <v/>
      </c>
      <c r="L189" s="16">
        <f>IFERROR(VLOOKUP(A189,Precios!$A$5:$C$14,3,FALSE()),"")</f>
        <v/>
      </c>
      <c r="M189" s="16">
        <f>IF(AND(K189&lt;&gt;"",L189&lt;&gt;""),L189-K189,"")</f>
        <v/>
      </c>
      <c r="N189" s="14">
        <f>IF(AND(H189&lt;&gt;"",I189&lt;&gt;""),I189-H189,"")</f>
        <v/>
      </c>
      <c r="O189" s="14">
        <f>IF(I189&lt;&gt;"",I189-TODAY(),"")</f>
        <v/>
      </c>
      <c r="P189" s="15">
        <f>IF(I189="","",IF(J189="Anual",I189+365,I189+30))</f>
        <v/>
      </c>
      <c r="Q189" s="14">
        <f>IF(I189="","",IF(O189&lt;0,"Vencida",IF(O189&lt;=3,"Por vencer","Activa")))</f>
        <v/>
      </c>
      <c r="R189" s="14" t="n"/>
      <c r="S189" s="14">
        <f>IF(OR(E189="",I189=""),"",HYPERLINK(IF(F189&lt;&gt;"","https://wa.me/"&amp;SUBSTITUTE(SUBSTITUTE(SUBSTITUTE(F189,"+",""),"-","")," ","")&amp;"?text="&amp;SUBSTITUTE(SUBSTITUTE("Hola "&amp;E189&amp;", tu cuenta de "&amp;A189&amp;" vence el "&amp;TEXT(I189,"dd/mm/yyyy")&amp;". Deseas renovarla?"," ","%20"),"?","%3F"),"https://api.whatsapp.com/send?text="&amp;SUBSTITUTE(SUBSTITUTE("Hola "&amp;E189&amp;", tu cuenta de "&amp;A189&amp;" vence el "&amp;TEXT(I189,"dd/mm/yyyy")&amp;". Deseas renovarla?"," ","%20"),"?","%3F")),"Enviar recordatorio"))</f>
        <v/>
      </c>
      <c r="T189" s="14" t="n"/>
    </row>
    <row r="190" ht="15" customHeight="1" s="28">
      <c r="A190" s="14" t="n"/>
      <c r="B190" s="14" t="n"/>
      <c r="C190" s="14" t="n"/>
      <c r="D190" s="14" t="n"/>
      <c r="E190" s="14" t="n"/>
      <c r="F190" s="14" t="n"/>
      <c r="G190" s="14" t="n"/>
      <c r="H190" s="15" t="n"/>
      <c r="I190" s="15" t="n"/>
      <c r="J190" s="14" t="n"/>
      <c r="K190" s="16">
        <f>IFERROR(VLOOKUP(A190,Precios!$A$5:$C$14,2,FALSE()),"")</f>
        <v/>
      </c>
      <c r="L190" s="16">
        <f>IFERROR(VLOOKUP(A190,Precios!$A$5:$C$14,3,FALSE()),"")</f>
        <v/>
      </c>
      <c r="M190" s="16">
        <f>IF(AND(K190&lt;&gt;"",L190&lt;&gt;""),L190-K190,"")</f>
        <v/>
      </c>
      <c r="N190" s="14">
        <f>IF(AND(H190&lt;&gt;"",I190&lt;&gt;""),I190-H190,"")</f>
        <v/>
      </c>
      <c r="O190" s="14">
        <f>IF(I190&lt;&gt;"",I190-TODAY(),"")</f>
        <v/>
      </c>
      <c r="P190" s="15">
        <f>IF(I190="","",IF(J190="Anual",I190+365,I190+30))</f>
        <v/>
      </c>
      <c r="Q190" s="14">
        <f>IF(I190="","",IF(O190&lt;0,"Vencida",IF(O190&lt;=3,"Por vencer","Activa")))</f>
        <v/>
      </c>
      <c r="R190" s="14" t="n"/>
      <c r="S190" s="14">
        <f>IF(OR(E190="",I190=""),"",HYPERLINK(IF(F190&lt;&gt;"","https://wa.me/"&amp;SUBSTITUTE(SUBSTITUTE(SUBSTITUTE(F190,"+",""),"-","")," ","")&amp;"?text="&amp;SUBSTITUTE(SUBSTITUTE("Hola "&amp;E190&amp;", tu cuenta de "&amp;A190&amp;" vence el "&amp;TEXT(I190,"dd/mm/yyyy")&amp;". Deseas renovarla?"," ","%20"),"?","%3F"),"https://api.whatsapp.com/send?text="&amp;SUBSTITUTE(SUBSTITUTE("Hola "&amp;E190&amp;", tu cuenta de "&amp;A190&amp;" vence el "&amp;TEXT(I190,"dd/mm/yyyy")&amp;". Deseas renovarla?"," ","%20"),"?","%3F")),"Enviar recordatorio"))</f>
        <v/>
      </c>
      <c r="T190" s="14" t="n"/>
    </row>
    <row r="191" ht="15" customHeight="1" s="28">
      <c r="A191" s="14" t="n"/>
      <c r="B191" s="14" t="n"/>
      <c r="C191" s="14" t="n"/>
      <c r="D191" s="14" t="n"/>
      <c r="E191" s="14" t="n"/>
      <c r="F191" s="14" t="n"/>
      <c r="G191" s="14" t="n"/>
      <c r="H191" s="15" t="n"/>
      <c r="I191" s="15" t="n"/>
      <c r="J191" s="14" t="n"/>
      <c r="K191" s="16">
        <f>IFERROR(VLOOKUP(A191,Precios!$A$5:$C$14,2,FALSE()),"")</f>
        <v/>
      </c>
      <c r="L191" s="16">
        <f>IFERROR(VLOOKUP(A191,Precios!$A$5:$C$14,3,FALSE()),"")</f>
        <v/>
      </c>
      <c r="M191" s="16">
        <f>IF(AND(K191&lt;&gt;"",L191&lt;&gt;""),L191-K191,"")</f>
        <v/>
      </c>
      <c r="N191" s="14">
        <f>IF(AND(H191&lt;&gt;"",I191&lt;&gt;""),I191-H191,"")</f>
        <v/>
      </c>
      <c r="O191" s="14">
        <f>IF(I191&lt;&gt;"",I191-TODAY(),"")</f>
        <v/>
      </c>
      <c r="P191" s="15">
        <f>IF(I191="","",IF(J191="Anual",I191+365,I191+30))</f>
        <v/>
      </c>
      <c r="Q191" s="14">
        <f>IF(I191="","",IF(O191&lt;0,"Vencida",IF(O191&lt;=3,"Por vencer","Activa")))</f>
        <v/>
      </c>
      <c r="R191" s="14" t="n"/>
      <c r="S191" s="14">
        <f>IF(OR(E191="",I191=""),"",HYPERLINK(IF(F191&lt;&gt;"","https://wa.me/"&amp;SUBSTITUTE(SUBSTITUTE(SUBSTITUTE(F191,"+",""),"-","")," ","")&amp;"?text="&amp;SUBSTITUTE(SUBSTITUTE("Hola "&amp;E191&amp;", tu cuenta de "&amp;A191&amp;" vence el "&amp;TEXT(I191,"dd/mm/yyyy")&amp;". Deseas renovarla?"," ","%20"),"?","%3F"),"https://api.whatsapp.com/send?text="&amp;SUBSTITUTE(SUBSTITUTE("Hola "&amp;E191&amp;", tu cuenta de "&amp;A191&amp;" vence el "&amp;TEXT(I191,"dd/mm/yyyy")&amp;". Deseas renovarla?"," ","%20"),"?","%3F")),"Enviar recordatorio"))</f>
        <v/>
      </c>
      <c r="T191" s="14" t="n"/>
    </row>
    <row r="192" ht="15" customHeight="1" s="28">
      <c r="A192" s="14" t="n"/>
      <c r="B192" s="14" t="n"/>
      <c r="C192" s="14" t="n"/>
      <c r="D192" s="14" t="n"/>
      <c r="E192" s="14" t="n"/>
      <c r="F192" s="14" t="n"/>
      <c r="G192" s="14" t="n"/>
      <c r="H192" s="15" t="n"/>
      <c r="I192" s="15" t="n"/>
      <c r="J192" s="14" t="n"/>
      <c r="K192" s="16">
        <f>IFERROR(VLOOKUP(A192,Precios!$A$5:$C$14,2,FALSE()),"")</f>
        <v/>
      </c>
      <c r="L192" s="16">
        <f>IFERROR(VLOOKUP(A192,Precios!$A$5:$C$14,3,FALSE()),"")</f>
        <v/>
      </c>
      <c r="M192" s="16">
        <f>IF(AND(K192&lt;&gt;"",L192&lt;&gt;""),L192-K192,"")</f>
        <v/>
      </c>
      <c r="N192" s="14">
        <f>IF(AND(H192&lt;&gt;"",I192&lt;&gt;""),I192-H192,"")</f>
        <v/>
      </c>
      <c r="O192" s="14">
        <f>IF(I192&lt;&gt;"",I192-TODAY(),"")</f>
        <v/>
      </c>
      <c r="P192" s="15">
        <f>IF(I192="","",IF(J192="Anual",I192+365,I192+30))</f>
        <v/>
      </c>
      <c r="Q192" s="14">
        <f>IF(I192="","",IF(O192&lt;0,"Vencida",IF(O192&lt;=3,"Por vencer","Activa")))</f>
        <v/>
      </c>
      <c r="R192" s="14" t="n"/>
      <c r="S192" s="14">
        <f>IF(OR(E192="",I192=""),"",HYPERLINK(IF(F192&lt;&gt;"","https://wa.me/"&amp;SUBSTITUTE(SUBSTITUTE(SUBSTITUTE(F192,"+",""),"-","")," ","")&amp;"?text="&amp;SUBSTITUTE(SUBSTITUTE("Hola "&amp;E192&amp;", tu cuenta de "&amp;A192&amp;" vence el "&amp;TEXT(I192,"dd/mm/yyyy")&amp;". Deseas renovarla?"," ","%20"),"?","%3F"),"https://api.whatsapp.com/send?text="&amp;SUBSTITUTE(SUBSTITUTE("Hola "&amp;E192&amp;", tu cuenta de "&amp;A192&amp;" vence el "&amp;TEXT(I192,"dd/mm/yyyy")&amp;". Deseas renovarla?"," ","%20"),"?","%3F")),"Enviar recordatorio"))</f>
        <v/>
      </c>
      <c r="T192" s="14" t="n"/>
    </row>
    <row r="193" ht="15" customHeight="1" s="28">
      <c r="A193" s="14" t="n"/>
      <c r="B193" s="14" t="n"/>
      <c r="C193" s="14" t="n"/>
      <c r="D193" s="14" t="n"/>
      <c r="E193" s="14" t="n"/>
      <c r="F193" s="14" t="n"/>
      <c r="G193" s="14" t="n"/>
      <c r="H193" s="15" t="n"/>
      <c r="I193" s="15" t="n"/>
      <c r="J193" s="14" t="n"/>
      <c r="K193" s="16">
        <f>IFERROR(VLOOKUP(A193,Precios!$A$5:$C$14,2,FALSE()),"")</f>
        <v/>
      </c>
      <c r="L193" s="16">
        <f>IFERROR(VLOOKUP(A193,Precios!$A$5:$C$14,3,FALSE()),"")</f>
        <v/>
      </c>
      <c r="M193" s="16">
        <f>IF(AND(K193&lt;&gt;"",L193&lt;&gt;""),L193-K193,"")</f>
        <v/>
      </c>
      <c r="N193" s="14">
        <f>IF(AND(H193&lt;&gt;"",I193&lt;&gt;""),I193-H193,"")</f>
        <v/>
      </c>
      <c r="O193" s="14">
        <f>IF(I193&lt;&gt;"",I193-TODAY(),"")</f>
        <v/>
      </c>
      <c r="P193" s="15">
        <f>IF(I193="","",IF(J193="Anual",I193+365,I193+30))</f>
        <v/>
      </c>
      <c r="Q193" s="14">
        <f>IF(I193="","",IF(O193&lt;0,"Vencida",IF(O193&lt;=3,"Por vencer","Activa")))</f>
        <v/>
      </c>
      <c r="R193" s="14" t="n"/>
      <c r="S193" s="14">
        <f>IF(OR(E193="",I193=""),"",HYPERLINK(IF(F193&lt;&gt;"","https://wa.me/"&amp;SUBSTITUTE(SUBSTITUTE(SUBSTITUTE(F193,"+",""),"-","")," ","")&amp;"?text="&amp;SUBSTITUTE(SUBSTITUTE("Hola "&amp;E193&amp;", tu cuenta de "&amp;A193&amp;" vence el "&amp;TEXT(I193,"dd/mm/yyyy")&amp;". Deseas renovarla?"," ","%20"),"?","%3F"),"https://api.whatsapp.com/send?text="&amp;SUBSTITUTE(SUBSTITUTE("Hola "&amp;E193&amp;", tu cuenta de "&amp;A193&amp;" vence el "&amp;TEXT(I193,"dd/mm/yyyy")&amp;". Deseas renovarla?"," ","%20"),"?","%3F")),"Enviar recordatorio"))</f>
        <v/>
      </c>
      <c r="T193" s="14" t="n"/>
    </row>
    <row r="194" ht="15" customHeight="1" s="28">
      <c r="A194" s="14" t="n"/>
      <c r="B194" s="14" t="n"/>
      <c r="C194" s="14" t="n"/>
      <c r="D194" s="14" t="n"/>
      <c r="E194" s="14" t="n"/>
      <c r="F194" s="14" t="n"/>
      <c r="G194" s="14" t="n"/>
      <c r="H194" s="15" t="n"/>
      <c r="I194" s="15" t="n"/>
      <c r="J194" s="14" t="n"/>
      <c r="K194" s="16">
        <f>IFERROR(VLOOKUP(A194,Precios!$A$5:$C$14,2,FALSE()),"")</f>
        <v/>
      </c>
      <c r="L194" s="16">
        <f>IFERROR(VLOOKUP(A194,Precios!$A$5:$C$14,3,FALSE()),"")</f>
        <v/>
      </c>
      <c r="M194" s="16">
        <f>IF(AND(K194&lt;&gt;"",L194&lt;&gt;""),L194-K194,"")</f>
        <v/>
      </c>
      <c r="N194" s="14">
        <f>IF(AND(H194&lt;&gt;"",I194&lt;&gt;""),I194-H194,"")</f>
        <v/>
      </c>
      <c r="O194" s="14">
        <f>IF(I194&lt;&gt;"",I194-TODAY(),"")</f>
        <v/>
      </c>
      <c r="P194" s="15">
        <f>IF(I194="","",IF(J194="Anual",I194+365,I194+30))</f>
        <v/>
      </c>
      <c r="Q194" s="14">
        <f>IF(I194="","",IF(O194&lt;0,"Vencida",IF(O194&lt;=3,"Por vencer","Activa")))</f>
        <v/>
      </c>
      <c r="R194" s="14" t="n"/>
      <c r="S194" s="14">
        <f>IF(OR(E194="",I194=""),"",HYPERLINK(IF(F194&lt;&gt;"","https://wa.me/"&amp;SUBSTITUTE(SUBSTITUTE(SUBSTITUTE(F194,"+",""),"-","")," ","")&amp;"?text="&amp;SUBSTITUTE(SUBSTITUTE("Hola "&amp;E194&amp;", tu cuenta de "&amp;A194&amp;" vence el "&amp;TEXT(I194,"dd/mm/yyyy")&amp;". Deseas renovarla?"," ","%20"),"?","%3F"),"https://api.whatsapp.com/send?text="&amp;SUBSTITUTE(SUBSTITUTE("Hola "&amp;E194&amp;", tu cuenta de "&amp;A194&amp;" vence el "&amp;TEXT(I194,"dd/mm/yyyy")&amp;". Deseas renovarla?"," ","%20"),"?","%3F")),"Enviar recordatorio"))</f>
        <v/>
      </c>
      <c r="T194" s="14" t="n"/>
    </row>
    <row r="195" ht="15" customHeight="1" s="28">
      <c r="A195" s="14" t="n"/>
      <c r="B195" s="14" t="n"/>
      <c r="C195" s="14" t="n"/>
      <c r="D195" s="14" t="n"/>
      <c r="E195" s="14" t="n"/>
      <c r="F195" s="14" t="n"/>
      <c r="G195" s="14" t="n"/>
      <c r="H195" s="15" t="n"/>
      <c r="I195" s="15" t="n"/>
      <c r="J195" s="14" t="n"/>
      <c r="K195" s="16">
        <f>IFERROR(VLOOKUP(A195,Precios!$A$5:$C$14,2,FALSE()),"")</f>
        <v/>
      </c>
      <c r="L195" s="16">
        <f>IFERROR(VLOOKUP(A195,Precios!$A$5:$C$14,3,FALSE()),"")</f>
        <v/>
      </c>
      <c r="M195" s="16">
        <f>IF(AND(K195&lt;&gt;"",L195&lt;&gt;""),L195-K195,"")</f>
        <v/>
      </c>
      <c r="N195" s="14">
        <f>IF(AND(H195&lt;&gt;"",I195&lt;&gt;""),I195-H195,"")</f>
        <v/>
      </c>
      <c r="O195" s="14">
        <f>IF(I195&lt;&gt;"",I195-TODAY(),"")</f>
        <v/>
      </c>
      <c r="P195" s="15">
        <f>IF(I195="","",IF(J195="Anual",I195+365,I195+30))</f>
        <v/>
      </c>
      <c r="Q195" s="14">
        <f>IF(I195="","",IF(O195&lt;0,"Vencida",IF(O195&lt;=3,"Por vencer","Activa")))</f>
        <v/>
      </c>
      <c r="R195" s="14" t="n"/>
      <c r="S195" s="14">
        <f>IF(OR(E195="",I195=""),"",HYPERLINK(IF(F195&lt;&gt;"","https://wa.me/"&amp;SUBSTITUTE(SUBSTITUTE(SUBSTITUTE(F195,"+",""),"-","")," ","")&amp;"?text="&amp;SUBSTITUTE(SUBSTITUTE("Hola "&amp;E195&amp;", tu cuenta de "&amp;A195&amp;" vence el "&amp;TEXT(I195,"dd/mm/yyyy")&amp;". Deseas renovarla?"," ","%20"),"?","%3F"),"https://api.whatsapp.com/send?text="&amp;SUBSTITUTE(SUBSTITUTE("Hola "&amp;E195&amp;", tu cuenta de "&amp;A195&amp;" vence el "&amp;TEXT(I195,"dd/mm/yyyy")&amp;". Deseas renovarla?"," ","%20"),"?","%3F")),"Enviar recordatorio"))</f>
        <v/>
      </c>
      <c r="T195" s="14" t="n"/>
    </row>
    <row r="196" ht="15" customHeight="1" s="28">
      <c r="A196" s="14" t="n"/>
      <c r="B196" s="14" t="n"/>
      <c r="C196" s="14" t="n"/>
      <c r="D196" s="14" t="n"/>
      <c r="E196" s="14" t="n"/>
      <c r="F196" s="14" t="n"/>
      <c r="G196" s="14" t="n"/>
      <c r="H196" s="15" t="n"/>
      <c r="I196" s="15" t="n"/>
      <c r="J196" s="14" t="n"/>
      <c r="K196" s="16">
        <f>IFERROR(VLOOKUP(A196,Precios!$A$5:$C$14,2,FALSE()),"")</f>
        <v/>
      </c>
      <c r="L196" s="16">
        <f>IFERROR(VLOOKUP(A196,Precios!$A$5:$C$14,3,FALSE()),"")</f>
        <v/>
      </c>
      <c r="M196" s="16">
        <f>IF(AND(K196&lt;&gt;"",L196&lt;&gt;""),L196-K196,"")</f>
        <v/>
      </c>
      <c r="N196" s="14">
        <f>IF(AND(H196&lt;&gt;"",I196&lt;&gt;""),I196-H196,"")</f>
        <v/>
      </c>
      <c r="O196" s="14">
        <f>IF(I196&lt;&gt;"",I196-TODAY(),"")</f>
        <v/>
      </c>
      <c r="P196" s="15">
        <f>IF(I196="","",IF(J196="Anual",I196+365,I196+30))</f>
        <v/>
      </c>
      <c r="Q196" s="14">
        <f>IF(I196="","",IF(O196&lt;0,"Vencida",IF(O196&lt;=3,"Por vencer","Activa")))</f>
        <v/>
      </c>
      <c r="R196" s="14" t="n"/>
      <c r="S196" s="14">
        <f>IF(OR(E196="",I196=""),"",HYPERLINK(IF(F196&lt;&gt;"","https://wa.me/"&amp;SUBSTITUTE(SUBSTITUTE(SUBSTITUTE(F196,"+",""),"-","")," ","")&amp;"?text="&amp;SUBSTITUTE(SUBSTITUTE("Hola "&amp;E196&amp;", tu cuenta de "&amp;A196&amp;" vence el "&amp;TEXT(I196,"dd/mm/yyyy")&amp;". Deseas renovarla?"," ","%20"),"?","%3F"),"https://api.whatsapp.com/send?text="&amp;SUBSTITUTE(SUBSTITUTE("Hola "&amp;E196&amp;", tu cuenta de "&amp;A196&amp;" vence el "&amp;TEXT(I196,"dd/mm/yyyy")&amp;". Deseas renovarla?"," ","%20"),"?","%3F")),"Enviar recordatorio"))</f>
        <v/>
      </c>
      <c r="T196" s="14" t="n"/>
    </row>
    <row r="197" ht="15" customHeight="1" s="28">
      <c r="A197" s="14" t="n"/>
      <c r="B197" s="14" t="n"/>
      <c r="C197" s="14" t="n"/>
      <c r="D197" s="14" t="n"/>
      <c r="E197" s="14" t="n"/>
      <c r="F197" s="14" t="n"/>
      <c r="G197" s="14" t="n"/>
      <c r="H197" s="15" t="n"/>
      <c r="I197" s="15" t="n"/>
      <c r="J197" s="14" t="n"/>
      <c r="K197" s="16">
        <f>IFERROR(VLOOKUP(A197,Precios!$A$5:$C$14,2,FALSE()),"")</f>
        <v/>
      </c>
      <c r="L197" s="16">
        <f>IFERROR(VLOOKUP(A197,Precios!$A$5:$C$14,3,FALSE()),"")</f>
        <v/>
      </c>
      <c r="M197" s="16">
        <f>IF(AND(K197&lt;&gt;"",L197&lt;&gt;""),L197-K197,"")</f>
        <v/>
      </c>
      <c r="N197" s="14">
        <f>IF(AND(H197&lt;&gt;"",I197&lt;&gt;""),I197-H197,"")</f>
        <v/>
      </c>
      <c r="O197" s="14">
        <f>IF(I197&lt;&gt;"",I197-TODAY(),"")</f>
        <v/>
      </c>
      <c r="P197" s="15">
        <f>IF(I197="","",IF(J197="Anual",I197+365,I197+30))</f>
        <v/>
      </c>
      <c r="Q197" s="14">
        <f>IF(I197="","",IF(O197&lt;0,"Vencida",IF(O197&lt;=3,"Por vencer","Activa")))</f>
        <v/>
      </c>
      <c r="R197" s="14" t="n"/>
      <c r="S197" s="14">
        <f>IF(OR(E197="",I197=""),"",HYPERLINK(IF(F197&lt;&gt;"","https://wa.me/"&amp;SUBSTITUTE(SUBSTITUTE(SUBSTITUTE(F197,"+",""),"-","")," ","")&amp;"?text="&amp;SUBSTITUTE(SUBSTITUTE("Hola "&amp;E197&amp;", tu cuenta de "&amp;A197&amp;" vence el "&amp;TEXT(I197,"dd/mm/yyyy")&amp;". Deseas renovarla?"," ","%20"),"?","%3F"),"https://api.whatsapp.com/send?text="&amp;SUBSTITUTE(SUBSTITUTE("Hola "&amp;E197&amp;", tu cuenta de "&amp;A197&amp;" vence el "&amp;TEXT(I197,"dd/mm/yyyy")&amp;". Deseas renovarla?"," ","%20"),"?","%3F")),"Enviar recordatorio"))</f>
        <v/>
      </c>
      <c r="T197" s="14" t="n"/>
    </row>
    <row r="198" ht="15" customHeight="1" s="28">
      <c r="A198" s="14" t="n"/>
      <c r="B198" s="14" t="n"/>
      <c r="C198" s="14" t="n"/>
      <c r="D198" s="14" t="n"/>
      <c r="E198" s="14" t="n"/>
      <c r="F198" s="14" t="n"/>
      <c r="G198" s="14" t="n"/>
      <c r="H198" s="15" t="n"/>
      <c r="I198" s="15" t="n"/>
      <c r="J198" s="14" t="n"/>
      <c r="K198" s="16">
        <f>IFERROR(VLOOKUP(A198,Precios!$A$5:$C$14,2,FALSE()),"")</f>
        <v/>
      </c>
      <c r="L198" s="16">
        <f>IFERROR(VLOOKUP(A198,Precios!$A$5:$C$14,3,FALSE()),"")</f>
        <v/>
      </c>
      <c r="M198" s="16">
        <f>IF(AND(K198&lt;&gt;"",L198&lt;&gt;""),L198-K198,"")</f>
        <v/>
      </c>
      <c r="N198" s="14">
        <f>IF(AND(H198&lt;&gt;"",I198&lt;&gt;""),I198-H198,"")</f>
        <v/>
      </c>
      <c r="O198" s="14">
        <f>IF(I198&lt;&gt;"",I198-TODAY(),"")</f>
        <v/>
      </c>
      <c r="P198" s="15">
        <f>IF(I198="","",IF(J198="Anual",I198+365,I198+30))</f>
        <v/>
      </c>
      <c r="Q198" s="14">
        <f>IF(I198="","",IF(O198&lt;0,"Vencida",IF(O198&lt;=3,"Por vencer","Activa")))</f>
        <v/>
      </c>
      <c r="R198" s="14" t="n"/>
      <c r="S198" s="14">
        <f>IF(OR(E198="",I198=""),"",HYPERLINK(IF(F198&lt;&gt;"","https://wa.me/"&amp;SUBSTITUTE(SUBSTITUTE(SUBSTITUTE(F198,"+",""),"-","")," ","")&amp;"?text="&amp;SUBSTITUTE(SUBSTITUTE("Hola "&amp;E198&amp;", tu cuenta de "&amp;A198&amp;" vence el "&amp;TEXT(I198,"dd/mm/yyyy")&amp;". Deseas renovarla?"," ","%20"),"?","%3F"),"https://api.whatsapp.com/send?text="&amp;SUBSTITUTE(SUBSTITUTE("Hola "&amp;E198&amp;", tu cuenta de "&amp;A198&amp;" vence el "&amp;TEXT(I198,"dd/mm/yyyy")&amp;". Deseas renovarla?"," ","%20"),"?","%3F")),"Enviar recordatorio"))</f>
        <v/>
      </c>
      <c r="T198" s="14" t="n"/>
    </row>
    <row r="199" ht="15" customHeight="1" s="28">
      <c r="A199" s="14" t="n"/>
      <c r="B199" s="14" t="n"/>
      <c r="C199" s="14" t="n"/>
      <c r="D199" s="14" t="n"/>
      <c r="E199" s="14" t="n"/>
      <c r="F199" s="14" t="n"/>
      <c r="G199" s="14" t="n"/>
      <c r="H199" s="15" t="n"/>
      <c r="I199" s="15" t="n"/>
      <c r="J199" s="14" t="n"/>
      <c r="K199" s="16">
        <f>IFERROR(VLOOKUP(A199,Precios!$A$5:$C$14,2,FALSE()),"")</f>
        <v/>
      </c>
      <c r="L199" s="16">
        <f>IFERROR(VLOOKUP(A199,Precios!$A$5:$C$14,3,FALSE()),"")</f>
        <v/>
      </c>
      <c r="M199" s="16">
        <f>IF(AND(K199&lt;&gt;"",L199&lt;&gt;""),L199-K199,"")</f>
        <v/>
      </c>
      <c r="N199" s="14">
        <f>IF(AND(H199&lt;&gt;"",I199&lt;&gt;""),I199-H199,"")</f>
        <v/>
      </c>
      <c r="O199" s="14">
        <f>IF(I199&lt;&gt;"",I199-TODAY(),"")</f>
        <v/>
      </c>
      <c r="P199" s="15">
        <f>IF(I199="","",IF(J199="Anual",I199+365,I199+30))</f>
        <v/>
      </c>
      <c r="Q199" s="14">
        <f>IF(I199="","",IF(O199&lt;0,"Vencida",IF(O199&lt;=3,"Por vencer","Activa")))</f>
        <v/>
      </c>
      <c r="R199" s="14" t="n"/>
      <c r="S199" s="14">
        <f>IF(OR(E199="",I199=""),"",HYPERLINK(IF(F199&lt;&gt;"","https://wa.me/"&amp;SUBSTITUTE(SUBSTITUTE(SUBSTITUTE(F199,"+",""),"-","")," ","")&amp;"?text="&amp;SUBSTITUTE(SUBSTITUTE("Hola "&amp;E199&amp;", tu cuenta de "&amp;A199&amp;" vence el "&amp;TEXT(I199,"dd/mm/yyyy")&amp;". Deseas renovarla?"," ","%20"),"?","%3F"),"https://api.whatsapp.com/send?text="&amp;SUBSTITUTE(SUBSTITUTE("Hola "&amp;E199&amp;", tu cuenta de "&amp;A199&amp;" vence el "&amp;TEXT(I199,"dd/mm/yyyy")&amp;". Deseas renovarla?"," ","%20"),"?","%3F")),"Enviar recordatorio"))</f>
        <v/>
      </c>
      <c r="T199" s="14" t="n"/>
    </row>
    <row r="200" ht="15" customHeight="1" s="28">
      <c r="A200" s="14" t="n"/>
      <c r="B200" s="14" t="n"/>
      <c r="C200" s="14" t="n"/>
      <c r="D200" s="14" t="n"/>
      <c r="E200" s="14" t="n"/>
      <c r="F200" s="14" t="n"/>
      <c r="G200" s="14" t="n"/>
      <c r="H200" s="15" t="n"/>
      <c r="I200" s="15" t="n"/>
      <c r="J200" s="14" t="n"/>
      <c r="K200" s="16">
        <f>IFERROR(VLOOKUP(A200,Precios!$A$5:$C$14,2,FALSE()),"")</f>
        <v/>
      </c>
      <c r="L200" s="16">
        <f>IFERROR(VLOOKUP(A200,Precios!$A$5:$C$14,3,FALSE()),"")</f>
        <v/>
      </c>
      <c r="M200" s="16">
        <f>IF(AND(K200&lt;&gt;"",L200&lt;&gt;""),L200-K200,"")</f>
        <v/>
      </c>
      <c r="N200" s="14">
        <f>IF(AND(H200&lt;&gt;"",I200&lt;&gt;""),I200-H200,"")</f>
        <v/>
      </c>
      <c r="O200" s="14">
        <f>IF(I200&lt;&gt;"",I200-TODAY(),"")</f>
        <v/>
      </c>
      <c r="P200" s="15">
        <f>IF(I200="","",IF(J200="Anual",I200+365,I200+30))</f>
        <v/>
      </c>
      <c r="Q200" s="14">
        <f>IF(I200="","",IF(O200&lt;0,"Vencida",IF(O200&lt;=3,"Por vencer","Activa")))</f>
        <v/>
      </c>
      <c r="R200" s="14" t="n"/>
      <c r="S200" s="14">
        <f>IF(OR(E200="",I200=""),"",HYPERLINK(IF(F200&lt;&gt;"","https://wa.me/"&amp;SUBSTITUTE(SUBSTITUTE(SUBSTITUTE(F200,"+",""),"-","")," ","")&amp;"?text="&amp;SUBSTITUTE(SUBSTITUTE("Hola "&amp;E200&amp;", tu cuenta de "&amp;A200&amp;" vence el "&amp;TEXT(I200,"dd/mm/yyyy")&amp;". Deseas renovarla?"," ","%20"),"?","%3F"),"https://api.whatsapp.com/send?text="&amp;SUBSTITUTE(SUBSTITUTE("Hola "&amp;E200&amp;", tu cuenta de "&amp;A200&amp;" vence el "&amp;TEXT(I200,"dd/mm/yyyy")&amp;". Deseas renovarla?"," ","%20"),"?","%3F")),"Enviar recordatorio"))</f>
        <v/>
      </c>
      <c r="T200" s="14" t="n"/>
    </row>
    <row r="201" ht="15" customHeight="1" s="28">
      <c r="A201" s="14" t="n"/>
      <c r="B201" s="14" t="n"/>
      <c r="C201" s="14" t="n"/>
      <c r="D201" s="14" t="n"/>
      <c r="E201" s="14" t="n"/>
      <c r="F201" s="14" t="n"/>
      <c r="G201" s="14" t="n"/>
      <c r="H201" s="15" t="n"/>
      <c r="I201" s="15" t="n"/>
      <c r="J201" s="14" t="n"/>
      <c r="K201" s="16">
        <f>IFERROR(VLOOKUP(A201,Precios!$A$5:$C$14,2,FALSE()),"")</f>
        <v/>
      </c>
      <c r="L201" s="16">
        <f>IFERROR(VLOOKUP(A201,Precios!$A$5:$C$14,3,FALSE()),"")</f>
        <v/>
      </c>
      <c r="M201" s="16">
        <f>IF(AND(K201&lt;&gt;"",L201&lt;&gt;""),L201-K201,"")</f>
        <v/>
      </c>
      <c r="N201" s="14">
        <f>IF(AND(H201&lt;&gt;"",I201&lt;&gt;""),I201-H201,"")</f>
        <v/>
      </c>
      <c r="O201" s="14">
        <f>IF(I201&lt;&gt;"",I201-TODAY(),"")</f>
        <v/>
      </c>
      <c r="P201" s="15">
        <f>IF(I201="","",IF(J201="Anual",I201+365,I201+30))</f>
        <v/>
      </c>
      <c r="Q201" s="14">
        <f>IF(I201="","",IF(O201&lt;0,"Vencida",IF(O201&lt;=3,"Por vencer","Activa")))</f>
        <v/>
      </c>
      <c r="R201" s="14" t="n"/>
      <c r="S201" s="14">
        <f>IF(OR(E201="",I201=""),"",HYPERLINK(IF(F201&lt;&gt;"","https://wa.me/"&amp;SUBSTITUTE(SUBSTITUTE(SUBSTITUTE(F201,"+",""),"-","")," ","")&amp;"?text="&amp;SUBSTITUTE(SUBSTITUTE("Hola "&amp;E201&amp;", tu cuenta de "&amp;A201&amp;" vence el "&amp;TEXT(I201,"dd/mm/yyyy")&amp;". Deseas renovarla?"," ","%20"),"?","%3F"),"https://api.whatsapp.com/send?text="&amp;SUBSTITUTE(SUBSTITUTE("Hola "&amp;E201&amp;", tu cuenta de "&amp;A201&amp;" vence el "&amp;TEXT(I201,"dd/mm/yyyy")&amp;". Deseas renovarla?"," ","%20"),"?","%3F")),"Enviar recordatorio"))</f>
        <v/>
      </c>
      <c r="T201" s="14" t="n"/>
    </row>
    <row r="202" ht="15" customHeight="1" s="28">
      <c r="A202" s="14" t="n"/>
      <c r="B202" s="14" t="n"/>
      <c r="C202" s="14" t="n"/>
      <c r="D202" s="14" t="n"/>
      <c r="E202" s="14" t="n"/>
      <c r="F202" s="14" t="n"/>
      <c r="G202" s="14" t="n"/>
      <c r="H202" s="15" t="n"/>
      <c r="I202" s="15" t="n"/>
      <c r="J202" s="14" t="n"/>
      <c r="K202" s="16">
        <f>IFERROR(VLOOKUP(A202,Precios!$A$5:$C$14,2,FALSE()),"")</f>
        <v/>
      </c>
      <c r="L202" s="16">
        <f>IFERROR(VLOOKUP(A202,Precios!$A$5:$C$14,3,FALSE()),"")</f>
        <v/>
      </c>
      <c r="M202" s="16">
        <f>IF(AND(K202&lt;&gt;"",L202&lt;&gt;""),L202-K202,"")</f>
        <v/>
      </c>
      <c r="N202" s="14">
        <f>IF(AND(H202&lt;&gt;"",I202&lt;&gt;""),I202-H202,"")</f>
        <v/>
      </c>
      <c r="O202" s="14">
        <f>IF(I202&lt;&gt;"",I202-TODAY(),"")</f>
        <v/>
      </c>
      <c r="P202" s="15">
        <f>IF(I202="","",IF(J202="Anual",I202+365,I202+30))</f>
        <v/>
      </c>
      <c r="Q202" s="14">
        <f>IF(I202="","",IF(O202&lt;0,"Vencida",IF(O202&lt;=3,"Por vencer","Activa")))</f>
        <v/>
      </c>
      <c r="R202" s="14" t="n"/>
      <c r="S202" s="14">
        <f>IF(OR(E202="",I202=""),"",HYPERLINK(IF(F202&lt;&gt;"","https://wa.me/"&amp;SUBSTITUTE(SUBSTITUTE(SUBSTITUTE(F202,"+",""),"-","")," ","")&amp;"?text="&amp;SUBSTITUTE(SUBSTITUTE("Hola "&amp;E202&amp;", tu cuenta de "&amp;A202&amp;" vence el "&amp;TEXT(I202,"dd/mm/yyyy")&amp;". Deseas renovarla?"," ","%20"),"?","%3F"),"https://api.whatsapp.com/send?text="&amp;SUBSTITUTE(SUBSTITUTE("Hola "&amp;E202&amp;", tu cuenta de "&amp;A202&amp;" vence el "&amp;TEXT(I202,"dd/mm/yyyy")&amp;". Deseas renovarla?"," ","%20"),"?","%3F")),"Enviar recordatorio"))</f>
        <v/>
      </c>
      <c r="T202" s="14" t="n"/>
    </row>
    <row r="203" ht="15" customHeight="1" s="28">
      <c r="A203" s="14" t="n"/>
      <c r="B203" s="14" t="n"/>
      <c r="C203" s="14" t="n"/>
      <c r="D203" s="14" t="n"/>
      <c r="E203" s="14" t="n"/>
      <c r="F203" s="14" t="n"/>
      <c r="G203" s="14" t="n"/>
      <c r="H203" s="15" t="n"/>
      <c r="I203" s="15" t="n"/>
      <c r="J203" s="14" t="n"/>
      <c r="K203" s="16">
        <f>IFERROR(VLOOKUP(A203,Precios!$A$5:$C$14,2,FALSE()),"")</f>
        <v/>
      </c>
      <c r="L203" s="16">
        <f>IFERROR(VLOOKUP(A203,Precios!$A$5:$C$14,3,FALSE()),"")</f>
        <v/>
      </c>
      <c r="M203" s="16">
        <f>IF(AND(K203&lt;&gt;"",L203&lt;&gt;""),L203-K203,"")</f>
        <v/>
      </c>
      <c r="N203" s="14">
        <f>IF(AND(H203&lt;&gt;"",I203&lt;&gt;""),I203-H203,"")</f>
        <v/>
      </c>
      <c r="O203" s="14">
        <f>IF(I203&lt;&gt;"",I203-TODAY(),"")</f>
        <v/>
      </c>
      <c r="P203" s="15">
        <f>IF(I203="","",IF(J203="Anual",I203+365,I203+30))</f>
        <v/>
      </c>
      <c r="Q203" s="14">
        <f>IF(I203="","",IF(O203&lt;0,"Vencida",IF(O203&lt;=3,"Por vencer","Activa")))</f>
        <v/>
      </c>
      <c r="R203" s="14" t="n"/>
      <c r="S203" s="14">
        <f>IF(OR(E203="",I203=""),"",HYPERLINK(IF(F203&lt;&gt;"","https://wa.me/"&amp;SUBSTITUTE(SUBSTITUTE(SUBSTITUTE(F203,"+",""),"-","")," ","")&amp;"?text="&amp;SUBSTITUTE(SUBSTITUTE("Hola "&amp;E203&amp;", tu cuenta de "&amp;A203&amp;" vence el "&amp;TEXT(I203,"dd/mm/yyyy")&amp;". Deseas renovarla?"," ","%20"),"?","%3F"),"https://api.whatsapp.com/send?text="&amp;SUBSTITUTE(SUBSTITUTE("Hola "&amp;E203&amp;", tu cuenta de "&amp;A203&amp;" vence el "&amp;TEXT(I203,"dd/mm/yyyy")&amp;". Deseas renovarla?"," ","%20"),"?","%3F")),"Enviar recordatorio"))</f>
        <v/>
      </c>
      <c r="T203" s="14" t="n"/>
    </row>
    <row r="204" ht="15" customHeight="1" s="28">
      <c r="A204" s="14" t="n"/>
      <c r="B204" s="14" t="n"/>
      <c r="C204" s="14" t="n"/>
      <c r="D204" s="14" t="n"/>
      <c r="E204" s="14" t="n"/>
      <c r="F204" s="14" t="n"/>
      <c r="G204" s="14" t="n"/>
      <c r="H204" s="15" t="n"/>
      <c r="I204" s="15" t="n"/>
      <c r="J204" s="14" t="n"/>
      <c r="K204" s="16">
        <f>IFERROR(VLOOKUP(A204,Precios!$A$5:$C$14,2,FALSE()),"")</f>
        <v/>
      </c>
      <c r="L204" s="16">
        <f>IFERROR(VLOOKUP(A204,Precios!$A$5:$C$14,3,FALSE()),"")</f>
        <v/>
      </c>
      <c r="M204" s="16">
        <f>IF(AND(K204&lt;&gt;"",L204&lt;&gt;""),L204-K204,"")</f>
        <v/>
      </c>
      <c r="N204" s="14">
        <f>IF(AND(H204&lt;&gt;"",I204&lt;&gt;""),I204-H204,"")</f>
        <v/>
      </c>
      <c r="O204" s="14">
        <f>IF(I204&lt;&gt;"",I204-TODAY(),"")</f>
        <v/>
      </c>
      <c r="P204" s="15">
        <f>IF(I204="","",IF(J204="Anual",I204+365,I204+30))</f>
        <v/>
      </c>
      <c r="Q204" s="14">
        <f>IF(I204="","",IF(O204&lt;0,"Vencida",IF(O204&lt;=3,"Por vencer","Activa")))</f>
        <v/>
      </c>
      <c r="R204" s="14" t="n"/>
      <c r="S204" s="14">
        <f>IF(OR(E204="",I204=""),"",HYPERLINK(IF(F204&lt;&gt;"","https://wa.me/"&amp;SUBSTITUTE(SUBSTITUTE(SUBSTITUTE(F204,"+",""),"-","")," ","")&amp;"?text="&amp;SUBSTITUTE(SUBSTITUTE("Hola "&amp;E204&amp;", tu cuenta de "&amp;A204&amp;" vence el "&amp;TEXT(I204,"dd/mm/yyyy")&amp;". Deseas renovarla?"," ","%20"),"?","%3F"),"https://api.whatsapp.com/send?text="&amp;SUBSTITUTE(SUBSTITUTE("Hola "&amp;E204&amp;", tu cuenta de "&amp;A204&amp;" vence el "&amp;TEXT(I204,"dd/mm/yyyy")&amp;". Deseas renovarla?"," ","%20"),"?","%3F")),"Enviar recordatorio"))</f>
        <v/>
      </c>
      <c r="T204" s="14" t="n"/>
    </row>
    <row r="205" ht="15" customHeight="1" s="28">
      <c r="A205" s="14" t="n"/>
      <c r="B205" s="14" t="n"/>
      <c r="C205" s="14" t="n"/>
      <c r="D205" s="14" t="n"/>
      <c r="E205" s="14" t="n"/>
      <c r="F205" s="14" t="n"/>
      <c r="G205" s="14" t="n"/>
      <c r="H205" s="15" t="n"/>
      <c r="I205" s="15" t="n"/>
      <c r="J205" s="14" t="n"/>
      <c r="K205" s="16">
        <f>IFERROR(VLOOKUP(A205,Precios!$A$5:$C$14,2,FALSE()),"")</f>
        <v/>
      </c>
      <c r="L205" s="16">
        <f>IFERROR(VLOOKUP(A205,Precios!$A$5:$C$14,3,FALSE()),"")</f>
        <v/>
      </c>
      <c r="M205" s="16">
        <f>IF(AND(K205&lt;&gt;"",L205&lt;&gt;""),L205-K205,"")</f>
        <v/>
      </c>
      <c r="N205" s="14">
        <f>IF(AND(H205&lt;&gt;"",I205&lt;&gt;""),I205-H205,"")</f>
        <v/>
      </c>
      <c r="O205" s="14">
        <f>IF(I205&lt;&gt;"",I205-TODAY(),"")</f>
        <v/>
      </c>
      <c r="P205" s="15">
        <f>IF(I205="","",IF(J205="Anual",I205+365,I205+30))</f>
        <v/>
      </c>
      <c r="Q205" s="14">
        <f>IF(I205="","",IF(O205&lt;0,"Vencida",IF(O205&lt;=3,"Por vencer","Activa")))</f>
        <v/>
      </c>
      <c r="R205" s="14" t="n"/>
      <c r="S205" s="14">
        <f>IF(OR(E205="",I205=""),"",HYPERLINK(IF(F205&lt;&gt;"","https://wa.me/"&amp;SUBSTITUTE(SUBSTITUTE(SUBSTITUTE(F205,"+",""),"-","")," ","")&amp;"?text="&amp;SUBSTITUTE(SUBSTITUTE("Hola "&amp;E205&amp;", tu cuenta de "&amp;A205&amp;" vence el "&amp;TEXT(I205,"dd/mm/yyyy")&amp;". Deseas renovarla?"," ","%20"),"?","%3F"),"https://api.whatsapp.com/send?text="&amp;SUBSTITUTE(SUBSTITUTE("Hola "&amp;E205&amp;", tu cuenta de "&amp;A205&amp;" vence el "&amp;TEXT(I205,"dd/mm/yyyy")&amp;". Deseas renovarla?"," ","%20"),"?","%3F")),"Enviar recordatorio"))</f>
        <v/>
      </c>
      <c r="T205" s="14" t="n"/>
    </row>
    <row r="206" ht="15" customHeight="1" s="28">
      <c r="A206" s="14" t="n"/>
      <c r="B206" s="14" t="n"/>
      <c r="C206" s="14" t="n"/>
      <c r="D206" s="14" t="n"/>
      <c r="E206" s="14" t="n"/>
      <c r="F206" s="14" t="n"/>
      <c r="G206" s="14" t="n"/>
      <c r="H206" s="15" t="n"/>
      <c r="I206" s="15" t="n"/>
      <c r="J206" s="14" t="n"/>
      <c r="K206" s="16">
        <f>IFERROR(VLOOKUP(A206,Precios!$A$5:$C$14,2,FALSE()),"")</f>
        <v/>
      </c>
      <c r="L206" s="16">
        <f>IFERROR(VLOOKUP(A206,Precios!$A$5:$C$14,3,FALSE()),"")</f>
        <v/>
      </c>
      <c r="M206" s="16">
        <f>IF(AND(K206&lt;&gt;"",L206&lt;&gt;""),L206-K206,"")</f>
        <v/>
      </c>
      <c r="N206" s="14">
        <f>IF(AND(H206&lt;&gt;"",I206&lt;&gt;""),I206-H206,"")</f>
        <v/>
      </c>
      <c r="O206" s="14">
        <f>IF(I206&lt;&gt;"",I206-TODAY(),"")</f>
        <v/>
      </c>
      <c r="P206" s="15">
        <f>IF(I206="","",IF(J206="Anual",I206+365,I206+30))</f>
        <v/>
      </c>
      <c r="Q206" s="14">
        <f>IF(I206="","",IF(O206&lt;0,"Vencida",IF(O206&lt;=3,"Por vencer","Activa")))</f>
        <v/>
      </c>
      <c r="R206" s="14" t="n"/>
      <c r="S206" s="14">
        <f>IF(OR(E206="",I206=""),"",HYPERLINK(IF(F206&lt;&gt;"","https://wa.me/"&amp;SUBSTITUTE(SUBSTITUTE(SUBSTITUTE(F206,"+",""),"-","")," ","")&amp;"?text="&amp;SUBSTITUTE(SUBSTITUTE("Hola "&amp;E206&amp;", tu cuenta de "&amp;A206&amp;" vence el "&amp;TEXT(I206,"dd/mm/yyyy")&amp;". Deseas renovarla?"," ","%20"),"?","%3F"),"https://api.whatsapp.com/send?text="&amp;SUBSTITUTE(SUBSTITUTE("Hola "&amp;E206&amp;", tu cuenta de "&amp;A206&amp;" vence el "&amp;TEXT(I206,"dd/mm/yyyy")&amp;". Deseas renovarla?"," ","%20"),"?","%3F")),"Enviar recordatorio"))</f>
        <v/>
      </c>
      <c r="T206" s="14" t="n"/>
    </row>
    <row r="207" ht="15" customHeight="1" s="28">
      <c r="A207" s="14" t="n"/>
      <c r="B207" s="14" t="n"/>
      <c r="C207" s="14" t="n"/>
      <c r="D207" s="14" t="n"/>
      <c r="E207" s="14" t="n"/>
      <c r="F207" s="14" t="n"/>
      <c r="G207" s="14" t="n"/>
      <c r="H207" s="15" t="n"/>
      <c r="I207" s="15" t="n"/>
      <c r="J207" s="14" t="n"/>
      <c r="K207" s="16">
        <f>IFERROR(VLOOKUP(A207,Precios!$A$5:$C$14,2,FALSE()),"")</f>
        <v/>
      </c>
      <c r="L207" s="16">
        <f>IFERROR(VLOOKUP(A207,Precios!$A$5:$C$14,3,FALSE()),"")</f>
        <v/>
      </c>
      <c r="M207" s="16">
        <f>IF(AND(K207&lt;&gt;"",L207&lt;&gt;""),L207-K207,"")</f>
        <v/>
      </c>
      <c r="N207" s="14">
        <f>IF(AND(H207&lt;&gt;"",I207&lt;&gt;""),I207-H207,"")</f>
        <v/>
      </c>
      <c r="O207" s="14">
        <f>IF(I207&lt;&gt;"",I207-TODAY(),"")</f>
        <v/>
      </c>
      <c r="P207" s="15">
        <f>IF(I207="","",IF(J207="Anual",I207+365,I207+30))</f>
        <v/>
      </c>
      <c r="Q207" s="14">
        <f>IF(I207="","",IF(O207&lt;0,"Vencida",IF(O207&lt;=3,"Por vencer","Activa")))</f>
        <v/>
      </c>
      <c r="R207" s="14" t="n"/>
      <c r="S207" s="14">
        <f>IF(OR(E207="",I207=""),"",HYPERLINK(IF(F207&lt;&gt;"","https://wa.me/"&amp;SUBSTITUTE(SUBSTITUTE(SUBSTITUTE(F207,"+",""),"-","")," ","")&amp;"?text="&amp;SUBSTITUTE(SUBSTITUTE("Hola "&amp;E207&amp;", tu cuenta de "&amp;A207&amp;" vence el "&amp;TEXT(I207,"dd/mm/yyyy")&amp;". Deseas renovarla?"," ","%20"),"?","%3F"),"https://api.whatsapp.com/send?text="&amp;SUBSTITUTE(SUBSTITUTE("Hola "&amp;E207&amp;", tu cuenta de "&amp;A207&amp;" vence el "&amp;TEXT(I207,"dd/mm/yyyy")&amp;". Deseas renovarla?"," ","%20"),"?","%3F")),"Enviar recordatorio"))</f>
        <v/>
      </c>
      <c r="T207" s="14" t="n"/>
    </row>
    <row r="208" ht="15" customHeight="1" s="28">
      <c r="A208" s="14" t="n"/>
      <c r="B208" s="14" t="n"/>
      <c r="C208" s="14" t="n"/>
      <c r="D208" s="14" t="n"/>
      <c r="E208" s="14" t="n"/>
      <c r="F208" s="14" t="n"/>
      <c r="G208" s="14" t="n"/>
      <c r="H208" s="15" t="n"/>
      <c r="I208" s="15" t="n"/>
      <c r="J208" s="14" t="n"/>
      <c r="K208" s="16">
        <f>IFERROR(VLOOKUP(A208,Precios!$A$5:$C$14,2,FALSE()),"")</f>
        <v/>
      </c>
      <c r="L208" s="16">
        <f>IFERROR(VLOOKUP(A208,Precios!$A$5:$C$14,3,FALSE()),"")</f>
        <v/>
      </c>
      <c r="M208" s="16">
        <f>IF(AND(K208&lt;&gt;"",L208&lt;&gt;""),L208-K208,"")</f>
        <v/>
      </c>
      <c r="N208" s="14">
        <f>IF(AND(H208&lt;&gt;"",I208&lt;&gt;""),I208-H208,"")</f>
        <v/>
      </c>
      <c r="O208" s="14">
        <f>IF(I208&lt;&gt;"",I208-TODAY(),"")</f>
        <v/>
      </c>
      <c r="P208" s="15">
        <f>IF(I208="","",IF(J208="Anual",I208+365,I208+30))</f>
        <v/>
      </c>
      <c r="Q208" s="14">
        <f>IF(I208="","",IF(O208&lt;0,"Vencida",IF(O208&lt;=3,"Por vencer","Activa")))</f>
        <v/>
      </c>
      <c r="R208" s="14" t="n"/>
      <c r="S208" s="14">
        <f>IF(OR(E208="",I208=""),"",HYPERLINK(IF(F208&lt;&gt;"","https://wa.me/"&amp;SUBSTITUTE(SUBSTITUTE(SUBSTITUTE(F208,"+",""),"-","")," ","")&amp;"?text="&amp;SUBSTITUTE(SUBSTITUTE("Hola "&amp;E208&amp;", tu cuenta de "&amp;A208&amp;" vence el "&amp;TEXT(I208,"dd/mm/yyyy")&amp;". Deseas renovarla?"," ","%20"),"?","%3F"),"https://api.whatsapp.com/send?text="&amp;SUBSTITUTE(SUBSTITUTE("Hola "&amp;E208&amp;", tu cuenta de "&amp;A208&amp;" vence el "&amp;TEXT(I208,"dd/mm/yyyy")&amp;". Deseas renovarla?"," ","%20"),"?","%3F")),"Enviar recordatorio"))</f>
        <v/>
      </c>
      <c r="T208" s="14" t="n"/>
    </row>
    <row r="209" ht="15" customHeight="1" s="28">
      <c r="A209" s="14" t="n"/>
      <c r="B209" s="14" t="n"/>
      <c r="C209" s="14" t="n"/>
      <c r="D209" s="14" t="n"/>
      <c r="E209" s="14" t="n"/>
      <c r="F209" s="14" t="n"/>
      <c r="G209" s="14" t="n"/>
      <c r="H209" s="15" t="n"/>
      <c r="I209" s="15" t="n"/>
      <c r="J209" s="14" t="n"/>
      <c r="K209" s="16">
        <f>IFERROR(VLOOKUP(A209,Precios!$A$5:$C$14,2,FALSE()),"")</f>
        <v/>
      </c>
      <c r="L209" s="16">
        <f>IFERROR(VLOOKUP(A209,Precios!$A$5:$C$14,3,FALSE()),"")</f>
        <v/>
      </c>
      <c r="M209" s="16">
        <f>IF(AND(K209&lt;&gt;"",L209&lt;&gt;""),L209-K209,"")</f>
        <v/>
      </c>
      <c r="N209" s="14">
        <f>IF(AND(H209&lt;&gt;"",I209&lt;&gt;""),I209-H209,"")</f>
        <v/>
      </c>
      <c r="O209" s="14">
        <f>IF(I209&lt;&gt;"",I209-TODAY(),"")</f>
        <v/>
      </c>
      <c r="P209" s="15">
        <f>IF(I209="","",IF(J209="Anual",I209+365,I209+30))</f>
        <v/>
      </c>
      <c r="Q209" s="14">
        <f>IF(I209="","",IF(O209&lt;0,"Vencida",IF(O209&lt;=3,"Por vencer","Activa")))</f>
        <v/>
      </c>
      <c r="R209" s="14" t="n"/>
      <c r="S209" s="14">
        <f>IF(OR(E209="",I209=""),"",HYPERLINK(IF(F209&lt;&gt;"","https://wa.me/"&amp;SUBSTITUTE(SUBSTITUTE(SUBSTITUTE(F209,"+",""),"-","")," ","")&amp;"?text="&amp;SUBSTITUTE(SUBSTITUTE("Hola "&amp;E209&amp;", tu cuenta de "&amp;A209&amp;" vence el "&amp;TEXT(I209,"dd/mm/yyyy")&amp;". Deseas renovarla?"," ","%20"),"?","%3F"),"https://api.whatsapp.com/send?text="&amp;SUBSTITUTE(SUBSTITUTE("Hola "&amp;E209&amp;", tu cuenta de "&amp;A209&amp;" vence el "&amp;TEXT(I209,"dd/mm/yyyy")&amp;". Deseas renovarla?"," ","%20"),"?","%3F")),"Enviar recordatorio"))</f>
        <v/>
      </c>
      <c r="T209" s="14" t="n"/>
    </row>
    <row r="210" ht="15" customHeight="1" s="28">
      <c r="A210" s="14" t="n"/>
      <c r="B210" s="14" t="n"/>
      <c r="C210" s="14" t="n"/>
      <c r="D210" s="14" t="n"/>
      <c r="E210" s="14" t="n"/>
      <c r="F210" s="14" t="n"/>
      <c r="G210" s="14" t="n"/>
      <c r="H210" s="15" t="n"/>
      <c r="I210" s="15" t="n"/>
      <c r="J210" s="14" t="n"/>
      <c r="K210" s="16">
        <f>IFERROR(VLOOKUP(A210,Precios!$A$5:$C$14,2,FALSE()),"")</f>
        <v/>
      </c>
      <c r="L210" s="16">
        <f>IFERROR(VLOOKUP(A210,Precios!$A$5:$C$14,3,FALSE()),"")</f>
        <v/>
      </c>
      <c r="M210" s="16">
        <f>IF(AND(K210&lt;&gt;"",L210&lt;&gt;""),L210-K210,"")</f>
        <v/>
      </c>
      <c r="N210" s="14">
        <f>IF(AND(H210&lt;&gt;"",I210&lt;&gt;""),I210-H210,"")</f>
        <v/>
      </c>
      <c r="O210" s="14">
        <f>IF(I210&lt;&gt;"",I210-TODAY(),"")</f>
        <v/>
      </c>
      <c r="P210" s="15">
        <f>IF(I210="","",IF(J210="Anual",I210+365,I210+30))</f>
        <v/>
      </c>
      <c r="Q210" s="14">
        <f>IF(I210="","",IF(O210&lt;0,"Vencida",IF(O210&lt;=3,"Por vencer","Activa")))</f>
        <v/>
      </c>
      <c r="R210" s="14" t="n"/>
      <c r="S210" s="14">
        <f>IF(OR(E210="",I210=""),"",HYPERLINK(IF(F210&lt;&gt;"","https://wa.me/"&amp;SUBSTITUTE(SUBSTITUTE(SUBSTITUTE(F210,"+",""),"-","")," ","")&amp;"?text="&amp;SUBSTITUTE(SUBSTITUTE("Hola "&amp;E210&amp;", tu cuenta de "&amp;A210&amp;" vence el "&amp;TEXT(I210,"dd/mm/yyyy")&amp;". Deseas renovarla?"," ","%20"),"?","%3F"),"https://api.whatsapp.com/send?text="&amp;SUBSTITUTE(SUBSTITUTE("Hola "&amp;E210&amp;", tu cuenta de "&amp;A210&amp;" vence el "&amp;TEXT(I210,"dd/mm/yyyy")&amp;". Deseas renovarla?"," ","%20"),"?","%3F")),"Enviar recordatorio"))</f>
        <v/>
      </c>
      <c r="T210" s="14" t="n"/>
    </row>
    <row r="211" ht="15" customHeight="1" s="28">
      <c r="A211" s="14" t="n"/>
      <c r="B211" s="14" t="n"/>
      <c r="C211" s="14" t="n"/>
      <c r="D211" s="14" t="n"/>
      <c r="E211" s="14" t="n"/>
      <c r="F211" s="14" t="n"/>
      <c r="G211" s="14" t="n"/>
      <c r="H211" s="15" t="n"/>
      <c r="I211" s="15" t="n"/>
      <c r="J211" s="14" t="n"/>
      <c r="K211" s="16">
        <f>IFERROR(VLOOKUP(A211,Precios!$A$5:$C$14,2,FALSE()),"")</f>
        <v/>
      </c>
      <c r="L211" s="16">
        <f>IFERROR(VLOOKUP(A211,Precios!$A$5:$C$14,3,FALSE()),"")</f>
        <v/>
      </c>
      <c r="M211" s="16">
        <f>IF(AND(K211&lt;&gt;"",L211&lt;&gt;""),L211-K211,"")</f>
        <v/>
      </c>
      <c r="N211" s="14">
        <f>IF(AND(H211&lt;&gt;"",I211&lt;&gt;""),I211-H211,"")</f>
        <v/>
      </c>
      <c r="O211" s="14">
        <f>IF(I211&lt;&gt;"",I211-TODAY(),"")</f>
        <v/>
      </c>
      <c r="P211" s="15">
        <f>IF(I211="","",IF(J211="Anual",I211+365,I211+30))</f>
        <v/>
      </c>
      <c r="Q211" s="14">
        <f>IF(I211="","",IF(O211&lt;0,"Vencida",IF(O211&lt;=3,"Por vencer","Activa")))</f>
        <v/>
      </c>
      <c r="R211" s="14" t="n"/>
      <c r="S211" s="14">
        <f>IF(OR(E211="",I211=""),"",HYPERLINK(IF(F211&lt;&gt;"","https://wa.me/"&amp;SUBSTITUTE(SUBSTITUTE(SUBSTITUTE(F211,"+",""),"-","")," ","")&amp;"?text="&amp;SUBSTITUTE(SUBSTITUTE("Hola "&amp;E211&amp;", tu cuenta de "&amp;A211&amp;" vence el "&amp;TEXT(I211,"dd/mm/yyyy")&amp;". Deseas renovarla?"," ","%20"),"?","%3F"),"https://api.whatsapp.com/send?text="&amp;SUBSTITUTE(SUBSTITUTE("Hola "&amp;E211&amp;", tu cuenta de "&amp;A211&amp;" vence el "&amp;TEXT(I211,"dd/mm/yyyy")&amp;". Deseas renovarla?"," ","%20"),"?","%3F")),"Enviar recordatorio"))</f>
        <v/>
      </c>
      <c r="T211" s="14" t="n"/>
    </row>
    <row r="212" ht="15" customHeight="1" s="28">
      <c r="A212" s="14" t="n"/>
      <c r="B212" s="14" t="n"/>
      <c r="C212" s="14" t="n"/>
      <c r="D212" s="14" t="n"/>
      <c r="E212" s="14" t="n"/>
      <c r="F212" s="14" t="n"/>
      <c r="G212" s="14" t="n"/>
      <c r="H212" s="15" t="n"/>
      <c r="I212" s="15" t="n"/>
      <c r="J212" s="14" t="n"/>
      <c r="K212" s="16">
        <f>IFERROR(VLOOKUP(A212,Precios!$A$5:$C$14,2,FALSE()),"")</f>
        <v/>
      </c>
      <c r="L212" s="16">
        <f>IFERROR(VLOOKUP(A212,Precios!$A$5:$C$14,3,FALSE()),"")</f>
        <v/>
      </c>
      <c r="M212" s="16">
        <f>IF(AND(K212&lt;&gt;"",L212&lt;&gt;""),L212-K212,"")</f>
        <v/>
      </c>
      <c r="N212" s="14">
        <f>IF(AND(H212&lt;&gt;"",I212&lt;&gt;""),I212-H212,"")</f>
        <v/>
      </c>
      <c r="O212" s="14">
        <f>IF(I212&lt;&gt;"",I212-TODAY(),"")</f>
        <v/>
      </c>
      <c r="P212" s="15">
        <f>IF(I212="","",IF(J212="Anual",I212+365,I212+30))</f>
        <v/>
      </c>
      <c r="Q212" s="14">
        <f>IF(I212="","",IF(O212&lt;0,"Vencida",IF(O212&lt;=3,"Por vencer","Activa")))</f>
        <v/>
      </c>
      <c r="R212" s="14" t="n"/>
      <c r="S212" s="14">
        <f>IF(OR(E212="",I212=""),"",HYPERLINK(IF(F212&lt;&gt;"","https://wa.me/"&amp;SUBSTITUTE(SUBSTITUTE(SUBSTITUTE(F212,"+",""),"-","")," ","")&amp;"?text="&amp;SUBSTITUTE(SUBSTITUTE("Hola "&amp;E212&amp;", tu cuenta de "&amp;A212&amp;" vence el "&amp;TEXT(I212,"dd/mm/yyyy")&amp;". Deseas renovarla?"," ","%20"),"?","%3F"),"https://api.whatsapp.com/send?text="&amp;SUBSTITUTE(SUBSTITUTE("Hola "&amp;E212&amp;", tu cuenta de "&amp;A212&amp;" vence el "&amp;TEXT(I212,"dd/mm/yyyy")&amp;". Deseas renovarla?"," ","%20"),"?","%3F")),"Enviar recordatorio"))</f>
        <v/>
      </c>
      <c r="T212" s="14" t="n"/>
    </row>
    <row r="213" ht="15" customHeight="1" s="28">
      <c r="A213" s="14" t="n"/>
      <c r="B213" s="14" t="n"/>
      <c r="C213" s="14" t="n"/>
      <c r="D213" s="14" t="n"/>
      <c r="E213" s="14" t="n"/>
      <c r="F213" s="14" t="n"/>
      <c r="G213" s="14" t="n"/>
      <c r="H213" s="15" t="n"/>
      <c r="I213" s="15" t="n"/>
      <c r="J213" s="14" t="n"/>
      <c r="K213" s="16">
        <f>IFERROR(VLOOKUP(A213,Precios!$A$5:$C$14,2,FALSE()),"")</f>
        <v/>
      </c>
      <c r="L213" s="16">
        <f>IFERROR(VLOOKUP(A213,Precios!$A$5:$C$14,3,FALSE()),"")</f>
        <v/>
      </c>
      <c r="M213" s="16">
        <f>IF(AND(K213&lt;&gt;"",L213&lt;&gt;""),L213-K213,"")</f>
        <v/>
      </c>
      <c r="N213" s="14">
        <f>IF(AND(H213&lt;&gt;"",I213&lt;&gt;""),I213-H213,"")</f>
        <v/>
      </c>
      <c r="O213" s="14">
        <f>IF(I213&lt;&gt;"",I213-TODAY(),"")</f>
        <v/>
      </c>
      <c r="P213" s="15">
        <f>IF(I213="","",IF(J213="Anual",I213+365,I213+30))</f>
        <v/>
      </c>
      <c r="Q213" s="14">
        <f>IF(I213="","",IF(O213&lt;0,"Vencida",IF(O213&lt;=3,"Por vencer","Activa")))</f>
        <v/>
      </c>
      <c r="R213" s="14" t="n"/>
      <c r="S213" s="14">
        <f>IF(OR(E213="",I213=""),"",HYPERLINK(IF(F213&lt;&gt;"","https://wa.me/"&amp;SUBSTITUTE(SUBSTITUTE(SUBSTITUTE(F213,"+",""),"-","")," ","")&amp;"?text="&amp;SUBSTITUTE(SUBSTITUTE("Hola "&amp;E213&amp;", tu cuenta de "&amp;A213&amp;" vence el "&amp;TEXT(I213,"dd/mm/yyyy")&amp;". Deseas renovarla?"," ","%20"),"?","%3F"),"https://api.whatsapp.com/send?text="&amp;SUBSTITUTE(SUBSTITUTE("Hola "&amp;E213&amp;", tu cuenta de "&amp;A213&amp;" vence el "&amp;TEXT(I213,"dd/mm/yyyy")&amp;". Deseas renovarla?"," ","%20"),"?","%3F")),"Enviar recordatorio"))</f>
        <v/>
      </c>
      <c r="T213" s="14" t="n"/>
    </row>
    <row r="214" ht="15" customHeight="1" s="28">
      <c r="A214" s="14" t="n"/>
      <c r="B214" s="14" t="n"/>
      <c r="C214" s="14" t="n"/>
      <c r="D214" s="14" t="n"/>
      <c r="E214" s="14" t="n"/>
      <c r="F214" s="14" t="n"/>
      <c r="G214" s="14" t="n"/>
      <c r="H214" s="15" t="n"/>
      <c r="I214" s="15" t="n"/>
      <c r="J214" s="14" t="n"/>
      <c r="K214" s="16">
        <f>IFERROR(VLOOKUP(A214,Precios!$A$5:$C$14,2,FALSE()),"")</f>
        <v/>
      </c>
      <c r="L214" s="16">
        <f>IFERROR(VLOOKUP(A214,Precios!$A$5:$C$14,3,FALSE()),"")</f>
        <v/>
      </c>
      <c r="M214" s="16">
        <f>IF(AND(K214&lt;&gt;"",L214&lt;&gt;""),L214-K214,"")</f>
        <v/>
      </c>
      <c r="N214" s="14">
        <f>IF(AND(H214&lt;&gt;"",I214&lt;&gt;""),I214-H214,"")</f>
        <v/>
      </c>
      <c r="O214" s="14">
        <f>IF(I214&lt;&gt;"",I214-TODAY(),"")</f>
        <v/>
      </c>
      <c r="P214" s="15">
        <f>IF(I214="","",IF(J214="Anual",I214+365,I214+30))</f>
        <v/>
      </c>
      <c r="Q214" s="14">
        <f>IF(I214="","",IF(O214&lt;0,"Vencida",IF(O214&lt;=3,"Por vencer","Activa")))</f>
        <v/>
      </c>
      <c r="R214" s="14" t="n"/>
      <c r="S214" s="14">
        <f>IF(OR(E214="",I214=""),"",HYPERLINK(IF(F214&lt;&gt;"","https://wa.me/"&amp;SUBSTITUTE(SUBSTITUTE(SUBSTITUTE(F214,"+",""),"-","")," ","")&amp;"?text="&amp;SUBSTITUTE(SUBSTITUTE("Hola "&amp;E214&amp;", tu cuenta de "&amp;A214&amp;" vence el "&amp;TEXT(I214,"dd/mm/yyyy")&amp;". Deseas renovarla?"," ","%20"),"?","%3F"),"https://api.whatsapp.com/send?text="&amp;SUBSTITUTE(SUBSTITUTE("Hola "&amp;E214&amp;", tu cuenta de "&amp;A214&amp;" vence el "&amp;TEXT(I214,"dd/mm/yyyy")&amp;". Deseas renovarla?"," ","%20"),"?","%3F")),"Enviar recordatorio"))</f>
        <v/>
      </c>
      <c r="T214" s="14" t="n"/>
    </row>
    <row r="215" ht="15" customHeight="1" s="28">
      <c r="A215" s="14" t="n"/>
      <c r="B215" s="14" t="n"/>
      <c r="C215" s="14" t="n"/>
      <c r="D215" s="14" t="n"/>
      <c r="E215" s="14" t="n"/>
      <c r="F215" s="14" t="n"/>
      <c r="G215" s="14" t="n"/>
      <c r="H215" s="15" t="n"/>
      <c r="I215" s="15" t="n"/>
      <c r="J215" s="14" t="n"/>
      <c r="K215" s="16">
        <f>IFERROR(VLOOKUP(A215,Precios!$A$5:$C$14,2,FALSE()),"")</f>
        <v/>
      </c>
      <c r="L215" s="16">
        <f>IFERROR(VLOOKUP(A215,Precios!$A$5:$C$14,3,FALSE()),"")</f>
        <v/>
      </c>
      <c r="M215" s="16">
        <f>IF(AND(K215&lt;&gt;"",L215&lt;&gt;""),L215-K215,"")</f>
        <v/>
      </c>
      <c r="N215" s="14">
        <f>IF(AND(H215&lt;&gt;"",I215&lt;&gt;""),I215-H215,"")</f>
        <v/>
      </c>
      <c r="O215" s="14">
        <f>IF(I215&lt;&gt;"",I215-TODAY(),"")</f>
        <v/>
      </c>
      <c r="P215" s="15">
        <f>IF(I215="","",IF(J215="Anual",I215+365,I215+30))</f>
        <v/>
      </c>
      <c r="Q215" s="14">
        <f>IF(I215="","",IF(O215&lt;0,"Vencida",IF(O215&lt;=3,"Por vencer","Activa")))</f>
        <v/>
      </c>
      <c r="R215" s="14" t="n"/>
      <c r="S215" s="14">
        <f>IF(OR(E215="",I215=""),"",HYPERLINK(IF(F215&lt;&gt;"","https://wa.me/"&amp;SUBSTITUTE(SUBSTITUTE(SUBSTITUTE(F215,"+",""),"-","")," ","")&amp;"?text="&amp;SUBSTITUTE(SUBSTITUTE("Hola "&amp;E215&amp;", tu cuenta de "&amp;A215&amp;" vence el "&amp;TEXT(I215,"dd/mm/yyyy")&amp;". Deseas renovarla?"," ","%20"),"?","%3F"),"https://api.whatsapp.com/send?text="&amp;SUBSTITUTE(SUBSTITUTE("Hola "&amp;E215&amp;", tu cuenta de "&amp;A215&amp;" vence el "&amp;TEXT(I215,"dd/mm/yyyy")&amp;". Deseas renovarla?"," ","%20"),"?","%3F")),"Enviar recordatorio"))</f>
        <v/>
      </c>
      <c r="T215" s="14" t="n"/>
    </row>
    <row r="216" ht="15" customHeight="1" s="28">
      <c r="A216" s="14" t="n"/>
      <c r="B216" s="14" t="n"/>
      <c r="C216" s="14" t="n"/>
      <c r="D216" s="14" t="n"/>
      <c r="E216" s="14" t="n"/>
      <c r="F216" s="14" t="n"/>
      <c r="G216" s="14" t="n"/>
      <c r="H216" s="15" t="n"/>
      <c r="I216" s="15" t="n"/>
      <c r="J216" s="14" t="n"/>
      <c r="K216" s="16">
        <f>IFERROR(VLOOKUP(A216,Precios!$A$5:$C$14,2,FALSE()),"")</f>
        <v/>
      </c>
      <c r="L216" s="16">
        <f>IFERROR(VLOOKUP(A216,Precios!$A$5:$C$14,3,FALSE()),"")</f>
        <v/>
      </c>
      <c r="M216" s="16">
        <f>IF(AND(K216&lt;&gt;"",L216&lt;&gt;""),L216-K216,"")</f>
        <v/>
      </c>
      <c r="N216" s="14">
        <f>IF(AND(H216&lt;&gt;"",I216&lt;&gt;""),I216-H216,"")</f>
        <v/>
      </c>
      <c r="O216" s="14">
        <f>IF(I216&lt;&gt;"",I216-TODAY(),"")</f>
        <v/>
      </c>
      <c r="P216" s="15">
        <f>IF(I216="","",IF(J216="Anual",I216+365,I216+30))</f>
        <v/>
      </c>
      <c r="Q216" s="14">
        <f>IF(I216="","",IF(O216&lt;0,"Vencida",IF(O216&lt;=3,"Por vencer","Activa")))</f>
        <v/>
      </c>
      <c r="R216" s="14" t="n"/>
      <c r="S216" s="14">
        <f>IF(OR(E216="",I216=""),"",HYPERLINK(IF(F216&lt;&gt;"","https://wa.me/"&amp;SUBSTITUTE(SUBSTITUTE(SUBSTITUTE(F216,"+",""),"-","")," ","")&amp;"?text="&amp;SUBSTITUTE(SUBSTITUTE("Hola "&amp;E216&amp;", tu cuenta de "&amp;A216&amp;" vence el "&amp;TEXT(I216,"dd/mm/yyyy")&amp;". Deseas renovarla?"," ","%20"),"?","%3F"),"https://api.whatsapp.com/send?text="&amp;SUBSTITUTE(SUBSTITUTE("Hola "&amp;E216&amp;", tu cuenta de "&amp;A216&amp;" vence el "&amp;TEXT(I216,"dd/mm/yyyy")&amp;". Deseas renovarla?"," ","%20"),"?","%3F")),"Enviar recordatorio"))</f>
        <v/>
      </c>
      <c r="T216" s="14" t="n"/>
    </row>
    <row r="217" ht="15" customHeight="1" s="28">
      <c r="A217" s="14" t="n"/>
      <c r="B217" s="14" t="n"/>
      <c r="C217" s="14" t="n"/>
      <c r="D217" s="14" t="n"/>
      <c r="E217" s="14" t="n"/>
      <c r="F217" s="14" t="n"/>
      <c r="G217" s="14" t="n"/>
      <c r="H217" s="15" t="n"/>
      <c r="I217" s="15" t="n"/>
      <c r="J217" s="14" t="n"/>
      <c r="K217" s="16">
        <f>IFERROR(VLOOKUP(A217,Precios!$A$5:$C$14,2,FALSE()),"")</f>
        <v/>
      </c>
      <c r="L217" s="16">
        <f>IFERROR(VLOOKUP(A217,Precios!$A$5:$C$14,3,FALSE()),"")</f>
        <v/>
      </c>
      <c r="M217" s="16">
        <f>IF(AND(K217&lt;&gt;"",L217&lt;&gt;""),L217-K217,"")</f>
        <v/>
      </c>
      <c r="N217" s="14">
        <f>IF(AND(H217&lt;&gt;"",I217&lt;&gt;""),I217-H217,"")</f>
        <v/>
      </c>
      <c r="O217" s="14">
        <f>IF(I217&lt;&gt;"",I217-TODAY(),"")</f>
        <v/>
      </c>
      <c r="P217" s="15">
        <f>IF(I217="","",IF(J217="Anual",I217+365,I217+30))</f>
        <v/>
      </c>
      <c r="Q217" s="14">
        <f>IF(I217="","",IF(O217&lt;0,"Vencida",IF(O217&lt;=3,"Por vencer","Activa")))</f>
        <v/>
      </c>
      <c r="R217" s="14" t="n"/>
      <c r="S217" s="14">
        <f>IF(OR(E217="",I217=""),"",HYPERLINK(IF(F217&lt;&gt;"","https://wa.me/"&amp;SUBSTITUTE(SUBSTITUTE(SUBSTITUTE(F217,"+",""),"-","")," ","")&amp;"?text="&amp;SUBSTITUTE(SUBSTITUTE("Hola "&amp;E217&amp;", tu cuenta de "&amp;A217&amp;" vence el "&amp;TEXT(I217,"dd/mm/yyyy")&amp;". Deseas renovarla?"," ","%20"),"?","%3F"),"https://api.whatsapp.com/send?text="&amp;SUBSTITUTE(SUBSTITUTE("Hola "&amp;E217&amp;", tu cuenta de "&amp;A217&amp;" vence el "&amp;TEXT(I217,"dd/mm/yyyy")&amp;". Deseas renovarla?"," ","%20"),"?","%3F")),"Enviar recordatorio"))</f>
        <v/>
      </c>
      <c r="T217" s="14" t="n"/>
    </row>
    <row r="218" ht="15" customHeight="1" s="28">
      <c r="A218" s="14" t="n"/>
      <c r="B218" s="14" t="n"/>
      <c r="C218" s="14" t="n"/>
      <c r="D218" s="14" t="n"/>
      <c r="E218" s="14" t="n"/>
      <c r="F218" s="14" t="n"/>
      <c r="G218" s="14" t="n"/>
      <c r="H218" s="15" t="n"/>
      <c r="I218" s="15" t="n"/>
      <c r="J218" s="14" t="n"/>
      <c r="K218" s="16">
        <f>IFERROR(VLOOKUP(A218,Precios!$A$5:$C$14,2,FALSE()),"")</f>
        <v/>
      </c>
      <c r="L218" s="16">
        <f>IFERROR(VLOOKUP(A218,Precios!$A$5:$C$14,3,FALSE()),"")</f>
        <v/>
      </c>
      <c r="M218" s="16">
        <f>IF(AND(K218&lt;&gt;"",L218&lt;&gt;""),L218-K218,"")</f>
        <v/>
      </c>
      <c r="N218" s="14">
        <f>IF(AND(H218&lt;&gt;"",I218&lt;&gt;""),I218-H218,"")</f>
        <v/>
      </c>
      <c r="O218" s="14">
        <f>IF(I218&lt;&gt;"",I218-TODAY(),"")</f>
        <v/>
      </c>
      <c r="P218" s="15">
        <f>IF(I218="","",IF(J218="Anual",I218+365,I218+30))</f>
        <v/>
      </c>
      <c r="Q218" s="14">
        <f>IF(I218="","",IF(O218&lt;0,"Vencida",IF(O218&lt;=3,"Por vencer","Activa")))</f>
        <v/>
      </c>
      <c r="R218" s="14" t="n"/>
      <c r="S218" s="14">
        <f>IF(OR(E218="",I218=""),"",HYPERLINK(IF(F218&lt;&gt;"","https://wa.me/"&amp;SUBSTITUTE(SUBSTITUTE(SUBSTITUTE(F218,"+",""),"-","")," ","")&amp;"?text="&amp;SUBSTITUTE(SUBSTITUTE("Hola "&amp;E218&amp;", tu cuenta de "&amp;A218&amp;" vence el "&amp;TEXT(I218,"dd/mm/yyyy")&amp;". Deseas renovarla?"," ","%20"),"?","%3F"),"https://api.whatsapp.com/send?text="&amp;SUBSTITUTE(SUBSTITUTE("Hola "&amp;E218&amp;", tu cuenta de "&amp;A218&amp;" vence el "&amp;TEXT(I218,"dd/mm/yyyy")&amp;". Deseas renovarla?"," ","%20"),"?","%3F")),"Enviar recordatorio"))</f>
        <v/>
      </c>
      <c r="T218" s="14" t="n"/>
    </row>
    <row r="219" ht="15" customHeight="1" s="28">
      <c r="A219" s="14" t="n"/>
      <c r="B219" s="14" t="n"/>
      <c r="C219" s="14" t="n"/>
      <c r="D219" s="14" t="n"/>
      <c r="E219" s="14" t="n"/>
      <c r="F219" s="14" t="n"/>
      <c r="G219" s="14" t="n"/>
      <c r="H219" s="15" t="n"/>
      <c r="I219" s="15" t="n"/>
      <c r="J219" s="14" t="n"/>
      <c r="K219" s="16">
        <f>IFERROR(VLOOKUP(A219,Precios!$A$5:$C$14,2,FALSE()),"")</f>
        <v/>
      </c>
      <c r="L219" s="16">
        <f>IFERROR(VLOOKUP(A219,Precios!$A$5:$C$14,3,FALSE()),"")</f>
        <v/>
      </c>
      <c r="M219" s="16">
        <f>IF(AND(K219&lt;&gt;"",L219&lt;&gt;""),L219-K219,"")</f>
        <v/>
      </c>
      <c r="N219" s="14">
        <f>IF(AND(H219&lt;&gt;"",I219&lt;&gt;""),I219-H219,"")</f>
        <v/>
      </c>
      <c r="O219" s="14">
        <f>IF(I219&lt;&gt;"",I219-TODAY(),"")</f>
        <v/>
      </c>
      <c r="P219" s="15">
        <f>IF(I219="","",IF(J219="Anual",I219+365,I219+30))</f>
        <v/>
      </c>
      <c r="Q219" s="14">
        <f>IF(I219="","",IF(O219&lt;0,"Vencida",IF(O219&lt;=3,"Por vencer","Activa")))</f>
        <v/>
      </c>
      <c r="R219" s="14" t="n"/>
      <c r="S219" s="14">
        <f>IF(OR(E219="",I219=""),"",HYPERLINK(IF(F219&lt;&gt;"","https://wa.me/"&amp;SUBSTITUTE(SUBSTITUTE(SUBSTITUTE(F219,"+",""),"-","")," ","")&amp;"?text="&amp;SUBSTITUTE(SUBSTITUTE("Hola "&amp;E219&amp;", tu cuenta de "&amp;A219&amp;" vence el "&amp;TEXT(I219,"dd/mm/yyyy")&amp;". Deseas renovarla?"," ","%20"),"?","%3F"),"https://api.whatsapp.com/send?text="&amp;SUBSTITUTE(SUBSTITUTE("Hola "&amp;E219&amp;", tu cuenta de "&amp;A219&amp;" vence el "&amp;TEXT(I219,"dd/mm/yyyy")&amp;". Deseas renovarla?"," ","%20"),"?","%3F")),"Enviar recordatorio"))</f>
        <v/>
      </c>
      <c r="T219" s="14" t="n"/>
    </row>
    <row r="220" ht="15" customHeight="1" s="28">
      <c r="A220" s="14" t="n"/>
      <c r="B220" s="14" t="n"/>
      <c r="C220" s="14" t="n"/>
      <c r="D220" s="14" t="n"/>
      <c r="E220" s="14" t="n"/>
      <c r="F220" s="14" t="n"/>
      <c r="G220" s="14" t="n"/>
      <c r="H220" s="15" t="n"/>
      <c r="I220" s="15" t="n"/>
      <c r="J220" s="14" t="n"/>
      <c r="K220" s="16">
        <f>IFERROR(VLOOKUP(A220,Precios!$A$5:$C$14,2,FALSE()),"")</f>
        <v/>
      </c>
      <c r="L220" s="16">
        <f>IFERROR(VLOOKUP(A220,Precios!$A$5:$C$14,3,FALSE()),"")</f>
        <v/>
      </c>
      <c r="M220" s="16">
        <f>IF(AND(K220&lt;&gt;"",L220&lt;&gt;""),L220-K220,"")</f>
        <v/>
      </c>
      <c r="N220" s="14">
        <f>IF(AND(H220&lt;&gt;"",I220&lt;&gt;""),I220-H220,"")</f>
        <v/>
      </c>
      <c r="O220" s="14">
        <f>IF(I220&lt;&gt;"",I220-TODAY(),"")</f>
        <v/>
      </c>
      <c r="P220" s="15">
        <f>IF(I220="","",IF(J220="Anual",I220+365,I220+30))</f>
        <v/>
      </c>
      <c r="Q220" s="14">
        <f>IF(I220="","",IF(O220&lt;0,"Vencida",IF(O220&lt;=3,"Por vencer","Activa")))</f>
        <v/>
      </c>
      <c r="R220" s="14" t="n"/>
      <c r="S220" s="14">
        <f>IF(OR(E220="",I220=""),"",HYPERLINK(IF(F220&lt;&gt;"","https://wa.me/"&amp;SUBSTITUTE(SUBSTITUTE(SUBSTITUTE(F220,"+",""),"-","")," ","")&amp;"?text="&amp;SUBSTITUTE(SUBSTITUTE("Hola "&amp;E220&amp;", tu cuenta de "&amp;A220&amp;" vence el "&amp;TEXT(I220,"dd/mm/yyyy")&amp;". Deseas renovarla?"," ","%20"),"?","%3F"),"https://api.whatsapp.com/send?text="&amp;SUBSTITUTE(SUBSTITUTE("Hola "&amp;E220&amp;", tu cuenta de "&amp;A220&amp;" vence el "&amp;TEXT(I220,"dd/mm/yyyy")&amp;". Deseas renovarla?"," ","%20"),"?","%3F")),"Enviar recordatorio"))</f>
        <v/>
      </c>
      <c r="T220" s="14" t="n"/>
    </row>
    <row r="221" ht="15" customHeight="1" s="28">
      <c r="A221" s="14" t="n"/>
      <c r="B221" s="14" t="n"/>
      <c r="C221" s="14" t="n"/>
      <c r="D221" s="14" t="n"/>
      <c r="E221" s="14" t="n"/>
      <c r="F221" s="14" t="n"/>
      <c r="G221" s="14" t="n"/>
      <c r="H221" s="15" t="n"/>
      <c r="I221" s="15" t="n"/>
      <c r="J221" s="14" t="n"/>
      <c r="K221" s="16">
        <f>IFERROR(VLOOKUP(A221,Precios!$A$5:$C$14,2,FALSE()),"")</f>
        <v/>
      </c>
      <c r="L221" s="16">
        <f>IFERROR(VLOOKUP(A221,Precios!$A$5:$C$14,3,FALSE()),"")</f>
        <v/>
      </c>
      <c r="M221" s="16">
        <f>IF(AND(K221&lt;&gt;"",L221&lt;&gt;""),L221-K221,"")</f>
        <v/>
      </c>
      <c r="N221" s="14">
        <f>IF(AND(H221&lt;&gt;"",I221&lt;&gt;""),I221-H221,"")</f>
        <v/>
      </c>
      <c r="O221" s="14">
        <f>IF(I221&lt;&gt;"",I221-TODAY(),"")</f>
        <v/>
      </c>
      <c r="P221" s="15">
        <f>IF(I221="","",IF(J221="Anual",I221+365,I221+30))</f>
        <v/>
      </c>
      <c r="Q221" s="14">
        <f>IF(I221="","",IF(O221&lt;0,"Vencida",IF(O221&lt;=3,"Por vencer","Activa")))</f>
        <v/>
      </c>
      <c r="R221" s="14" t="n"/>
      <c r="S221" s="14">
        <f>IF(OR(E221="",I221=""),"",HYPERLINK(IF(F221&lt;&gt;"","https://wa.me/"&amp;SUBSTITUTE(SUBSTITUTE(SUBSTITUTE(F221,"+",""),"-","")," ","")&amp;"?text="&amp;SUBSTITUTE(SUBSTITUTE("Hola "&amp;E221&amp;", tu cuenta de "&amp;A221&amp;" vence el "&amp;TEXT(I221,"dd/mm/yyyy")&amp;". Deseas renovarla?"," ","%20"),"?","%3F"),"https://api.whatsapp.com/send?text="&amp;SUBSTITUTE(SUBSTITUTE("Hola "&amp;E221&amp;", tu cuenta de "&amp;A221&amp;" vence el "&amp;TEXT(I221,"dd/mm/yyyy")&amp;". Deseas renovarla?"," ","%20"),"?","%3F")),"Enviar recordatorio"))</f>
        <v/>
      </c>
      <c r="T221" s="14" t="n"/>
    </row>
    <row r="222" ht="15" customHeight="1" s="28">
      <c r="A222" s="14" t="n"/>
      <c r="B222" s="14" t="n"/>
      <c r="C222" s="14" t="n"/>
      <c r="D222" s="14" t="n"/>
      <c r="E222" s="14" t="n"/>
      <c r="F222" s="14" t="n"/>
      <c r="G222" s="14" t="n"/>
      <c r="H222" s="15" t="n"/>
      <c r="I222" s="15" t="n"/>
      <c r="J222" s="14" t="n"/>
      <c r="K222" s="16">
        <f>IFERROR(VLOOKUP(A222,Precios!$A$5:$C$14,2,FALSE()),"")</f>
        <v/>
      </c>
      <c r="L222" s="16">
        <f>IFERROR(VLOOKUP(A222,Precios!$A$5:$C$14,3,FALSE()),"")</f>
        <v/>
      </c>
      <c r="M222" s="16">
        <f>IF(AND(K222&lt;&gt;"",L222&lt;&gt;""),L222-K222,"")</f>
        <v/>
      </c>
      <c r="N222" s="14">
        <f>IF(AND(H222&lt;&gt;"",I222&lt;&gt;""),I222-H222,"")</f>
        <v/>
      </c>
      <c r="O222" s="14">
        <f>IF(I222&lt;&gt;"",I222-TODAY(),"")</f>
        <v/>
      </c>
      <c r="P222" s="15">
        <f>IF(I222="","",IF(J222="Anual",I222+365,I222+30))</f>
        <v/>
      </c>
      <c r="Q222" s="14">
        <f>IF(I222="","",IF(O222&lt;0,"Vencida",IF(O222&lt;=3,"Por vencer","Activa")))</f>
        <v/>
      </c>
      <c r="R222" s="14" t="n"/>
      <c r="S222" s="14">
        <f>IF(OR(E222="",I222=""),"",HYPERLINK(IF(F222&lt;&gt;"","https://wa.me/"&amp;SUBSTITUTE(SUBSTITUTE(SUBSTITUTE(F222,"+",""),"-","")," ","")&amp;"?text="&amp;SUBSTITUTE(SUBSTITUTE("Hola "&amp;E222&amp;", tu cuenta de "&amp;A222&amp;" vence el "&amp;TEXT(I222,"dd/mm/yyyy")&amp;". Deseas renovarla?"," ","%20"),"?","%3F"),"https://api.whatsapp.com/send?text="&amp;SUBSTITUTE(SUBSTITUTE("Hola "&amp;E222&amp;", tu cuenta de "&amp;A222&amp;" vence el "&amp;TEXT(I222,"dd/mm/yyyy")&amp;". Deseas renovarla?"," ","%20"),"?","%3F")),"Enviar recordatorio"))</f>
        <v/>
      </c>
      <c r="T222" s="14" t="n"/>
    </row>
    <row r="223" ht="15" customHeight="1" s="28">
      <c r="A223" s="14" t="n"/>
      <c r="B223" s="14" t="n"/>
      <c r="C223" s="14" t="n"/>
      <c r="D223" s="14" t="n"/>
      <c r="E223" s="14" t="n"/>
      <c r="F223" s="14" t="n"/>
      <c r="G223" s="14" t="n"/>
      <c r="H223" s="15" t="n"/>
      <c r="I223" s="15" t="n"/>
      <c r="J223" s="14" t="n"/>
      <c r="K223" s="16">
        <f>IFERROR(VLOOKUP(A223,Precios!$A$5:$C$14,2,FALSE()),"")</f>
        <v/>
      </c>
      <c r="L223" s="16">
        <f>IFERROR(VLOOKUP(A223,Precios!$A$5:$C$14,3,FALSE()),"")</f>
        <v/>
      </c>
      <c r="M223" s="16">
        <f>IF(AND(K223&lt;&gt;"",L223&lt;&gt;""),L223-K223,"")</f>
        <v/>
      </c>
      <c r="N223" s="14">
        <f>IF(AND(H223&lt;&gt;"",I223&lt;&gt;""),I223-H223,"")</f>
        <v/>
      </c>
      <c r="O223" s="14">
        <f>IF(I223&lt;&gt;"",I223-TODAY(),"")</f>
        <v/>
      </c>
      <c r="P223" s="15">
        <f>IF(I223="","",IF(J223="Anual",I223+365,I223+30))</f>
        <v/>
      </c>
      <c r="Q223" s="14">
        <f>IF(I223="","",IF(O223&lt;0,"Vencida",IF(O223&lt;=3,"Por vencer","Activa")))</f>
        <v/>
      </c>
      <c r="R223" s="14" t="n"/>
      <c r="S223" s="14">
        <f>IF(OR(E223="",I223=""),"",HYPERLINK(IF(F223&lt;&gt;"","https://wa.me/"&amp;SUBSTITUTE(SUBSTITUTE(SUBSTITUTE(F223,"+",""),"-","")," ","")&amp;"?text="&amp;SUBSTITUTE(SUBSTITUTE("Hola "&amp;E223&amp;", tu cuenta de "&amp;A223&amp;" vence el "&amp;TEXT(I223,"dd/mm/yyyy")&amp;". Deseas renovarla?"," ","%20"),"?","%3F"),"https://api.whatsapp.com/send?text="&amp;SUBSTITUTE(SUBSTITUTE("Hola "&amp;E223&amp;", tu cuenta de "&amp;A223&amp;" vence el "&amp;TEXT(I223,"dd/mm/yyyy")&amp;". Deseas renovarla?"," ","%20"),"?","%3F")),"Enviar recordatorio"))</f>
        <v/>
      </c>
      <c r="T223" s="14" t="n"/>
    </row>
    <row r="224" ht="15" customHeight="1" s="28">
      <c r="A224" s="14" t="n"/>
      <c r="B224" s="14" t="n"/>
      <c r="C224" s="14" t="n"/>
      <c r="D224" s="14" t="n"/>
      <c r="E224" s="14" t="n"/>
      <c r="F224" s="14" t="n"/>
      <c r="G224" s="14" t="n"/>
      <c r="H224" s="15" t="n"/>
      <c r="I224" s="15" t="n"/>
      <c r="J224" s="14" t="n"/>
      <c r="K224" s="16">
        <f>IFERROR(VLOOKUP(A224,Precios!$A$5:$C$14,2,FALSE()),"")</f>
        <v/>
      </c>
      <c r="L224" s="16">
        <f>IFERROR(VLOOKUP(A224,Precios!$A$5:$C$14,3,FALSE()),"")</f>
        <v/>
      </c>
      <c r="M224" s="16">
        <f>IF(AND(K224&lt;&gt;"",L224&lt;&gt;""),L224-K224,"")</f>
        <v/>
      </c>
      <c r="N224" s="14">
        <f>IF(AND(H224&lt;&gt;"",I224&lt;&gt;""),I224-H224,"")</f>
        <v/>
      </c>
      <c r="O224" s="14">
        <f>IF(I224&lt;&gt;"",I224-TODAY(),"")</f>
        <v/>
      </c>
      <c r="P224" s="15">
        <f>IF(I224="","",IF(J224="Anual",I224+365,I224+30))</f>
        <v/>
      </c>
      <c r="Q224" s="14">
        <f>IF(I224="","",IF(O224&lt;0,"Vencida",IF(O224&lt;=3,"Por vencer","Activa")))</f>
        <v/>
      </c>
      <c r="R224" s="14" t="n"/>
      <c r="S224" s="14">
        <f>IF(OR(E224="",I224=""),"",HYPERLINK(IF(F224&lt;&gt;"","https://wa.me/"&amp;SUBSTITUTE(SUBSTITUTE(SUBSTITUTE(F224,"+",""),"-","")," ","")&amp;"?text="&amp;SUBSTITUTE(SUBSTITUTE("Hola "&amp;E224&amp;", tu cuenta de "&amp;A224&amp;" vence el "&amp;TEXT(I224,"dd/mm/yyyy")&amp;". Deseas renovarla?"," ","%20"),"?","%3F"),"https://api.whatsapp.com/send?text="&amp;SUBSTITUTE(SUBSTITUTE("Hola "&amp;E224&amp;", tu cuenta de "&amp;A224&amp;" vence el "&amp;TEXT(I224,"dd/mm/yyyy")&amp;". Deseas renovarla?"," ","%20"),"?","%3F")),"Enviar recordatorio"))</f>
        <v/>
      </c>
      <c r="T224" s="14" t="n"/>
    </row>
    <row r="225" ht="15" customHeight="1" s="28">
      <c r="A225" s="14" t="n"/>
      <c r="B225" s="14" t="n"/>
      <c r="C225" s="14" t="n"/>
      <c r="D225" s="14" t="n"/>
      <c r="E225" s="14" t="n"/>
      <c r="F225" s="14" t="n"/>
      <c r="G225" s="14" t="n"/>
      <c r="H225" s="15" t="n"/>
      <c r="I225" s="15" t="n"/>
      <c r="J225" s="14" t="n"/>
      <c r="K225" s="16">
        <f>IFERROR(VLOOKUP(A225,Precios!$A$5:$C$14,2,FALSE()),"")</f>
        <v/>
      </c>
      <c r="L225" s="16">
        <f>IFERROR(VLOOKUP(A225,Precios!$A$5:$C$14,3,FALSE()),"")</f>
        <v/>
      </c>
      <c r="M225" s="16">
        <f>IF(AND(K225&lt;&gt;"",L225&lt;&gt;""),L225-K225,"")</f>
        <v/>
      </c>
      <c r="N225" s="14">
        <f>IF(AND(H225&lt;&gt;"",I225&lt;&gt;""),I225-H225,"")</f>
        <v/>
      </c>
      <c r="O225" s="14">
        <f>IF(I225&lt;&gt;"",I225-TODAY(),"")</f>
        <v/>
      </c>
      <c r="P225" s="15">
        <f>IF(I225="","",IF(J225="Anual",I225+365,I225+30))</f>
        <v/>
      </c>
      <c r="Q225" s="14">
        <f>IF(I225="","",IF(O225&lt;0,"Vencida",IF(O225&lt;=3,"Por vencer","Activa")))</f>
        <v/>
      </c>
      <c r="R225" s="14" t="n"/>
      <c r="S225" s="14">
        <f>IF(OR(E225="",I225=""),"",HYPERLINK(IF(F225&lt;&gt;"","https://wa.me/"&amp;SUBSTITUTE(SUBSTITUTE(SUBSTITUTE(F225,"+",""),"-","")," ","")&amp;"?text="&amp;SUBSTITUTE(SUBSTITUTE("Hola "&amp;E225&amp;", tu cuenta de "&amp;A225&amp;" vence el "&amp;TEXT(I225,"dd/mm/yyyy")&amp;". Deseas renovarla?"," ","%20"),"?","%3F"),"https://api.whatsapp.com/send?text="&amp;SUBSTITUTE(SUBSTITUTE("Hola "&amp;E225&amp;", tu cuenta de "&amp;A225&amp;" vence el "&amp;TEXT(I225,"dd/mm/yyyy")&amp;". Deseas renovarla?"," ","%20"),"?","%3F")),"Enviar recordatorio"))</f>
        <v/>
      </c>
      <c r="T225" s="14" t="n"/>
    </row>
    <row r="226" ht="15" customHeight="1" s="28">
      <c r="A226" s="14" t="n"/>
      <c r="B226" s="14" t="n"/>
      <c r="C226" s="14" t="n"/>
      <c r="D226" s="14" t="n"/>
      <c r="E226" s="14" t="n"/>
      <c r="F226" s="14" t="n"/>
      <c r="G226" s="14" t="n"/>
      <c r="H226" s="15" t="n"/>
      <c r="I226" s="15" t="n"/>
      <c r="J226" s="14" t="n"/>
      <c r="K226" s="16">
        <f>IFERROR(VLOOKUP(A226,Precios!$A$5:$C$14,2,FALSE()),"")</f>
        <v/>
      </c>
      <c r="L226" s="16">
        <f>IFERROR(VLOOKUP(A226,Precios!$A$5:$C$14,3,FALSE()),"")</f>
        <v/>
      </c>
      <c r="M226" s="16">
        <f>IF(AND(K226&lt;&gt;"",L226&lt;&gt;""),L226-K226,"")</f>
        <v/>
      </c>
      <c r="N226" s="14">
        <f>IF(AND(H226&lt;&gt;"",I226&lt;&gt;""),I226-H226,"")</f>
        <v/>
      </c>
      <c r="O226" s="14">
        <f>IF(I226&lt;&gt;"",I226-TODAY(),"")</f>
        <v/>
      </c>
      <c r="P226" s="15">
        <f>IF(I226="","",IF(J226="Anual",I226+365,I226+30))</f>
        <v/>
      </c>
      <c r="Q226" s="14">
        <f>IF(I226="","",IF(O226&lt;0,"Vencida",IF(O226&lt;=3,"Por vencer","Activa")))</f>
        <v/>
      </c>
      <c r="R226" s="14" t="n"/>
      <c r="S226" s="14">
        <f>IF(OR(E226="",I226=""),"",HYPERLINK(IF(F226&lt;&gt;"","https://wa.me/"&amp;SUBSTITUTE(SUBSTITUTE(SUBSTITUTE(F226,"+",""),"-","")," ","")&amp;"?text="&amp;SUBSTITUTE(SUBSTITUTE("Hola "&amp;E226&amp;", tu cuenta de "&amp;A226&amp;" vence el "&amp;TEXT(I226,"dd/mm/yyyy")&amp;". Deseas renovarla?"," ","%20"),"?","%3F"),"https://api.whatsapp.com/send?text="&amp;SUBSTITUTE(SUBSTITUTE("Hola "&amp;E226&amp;", tu cuenta de "&amp;A226&amp;" vence el "&amp;TEXT(I226,"dd/mm/yyyy")&amp;". Deseas renovarla?"," ","%20"),"?","%3F")),"Enviar recordatorio"))</f>
        <v/>
      </c>
      <c r="T226" s="14" t="n"/>
    </row>
    <row r="227" ht="15" customHeight="1" s="28">
      <c r="A227" s="14" t="n"/>
      <c r="B227" s="14" t="n"/>
      <c r="C227" s="14" t="n"/>
      <c r="D227" s="14" t="n"/>
      <c r="E227" s="14" t="n"/>
      <c r="F227" s="14" t="n"/>
      <c r="G227" s="14" t="n"/>
      <c r="H227" s="15" t="n"/>
      <c r="I227" s="15" t="n"/>
      <c r="J227" s="14" t="n"/>
      <c r="K227" s="16">
        <f>IFERROR(VLOOKUP(A227,Precios!$A$5:$C$14,2,FALSE()),"")</f>
        <v/>
      </c>
      <c r="L227" s="16">
        <f>IFERROR(VLOOKUP(A227,Precios!$A$5:$C$14,3,FALSE()),"")</f>
        <v/>
      </c>
      <c r="M227" s="16">
        <f>IF(AND(K227&lt;&gt;"",L227&lt;&gt;""),L227-K227,"")</f>
        <v/>
      </c>
      <c r="N227" s="14">
        <f>IF(AND(H227&lt;&gt;"",I227&lt;&gt;""),I227-H227,"")</f>
        <v/>
      </c>
      <c r="O227" s="14">
        <f>IF(I227&lt;&gt;"",I227-TODAY(),"")</f>
        <v/>
      </c>
      <c r="P227" s="15">
        <f>IF(I227="","",IF(J227="Anual",I227+365,I227+30))</f>
        <v/>
      </c>
      <c r="Q227" s="14">
        <f>IF(I227="","",IF(O227&lt;0,"Vencida",IF(O227&lt;=3,"Por vencer","Activa")))</f>
        <v/>
      </c>
      <c r="R227" s="14" t="n"/>
      <c r="S227" s="14">
        <f>IF(OR(E227="",I227=""),"",HYPERLINK(IF(F227&lt;&gt;"","https://wa.me/"&amp;SUBSTITUTE(SUBSTITUTE(SUBSTITUTE(F227,"+",""),"-","")," ","")&amp;"?text="&amp;SUBSTITUTE(SUBSTITUTE("Hola "&amp;E227&amp;", tu cuenta de "&amp;A227&amp;" vence el "&amp;TEXT(I227,"dd/mm/yyyy")&amp;". Deseas renovarla?"," ","%20"),"?","%3F"),"https://api.whatsapp.com/send?text="&amp;SUBSTITUTE(SUBSTITUTE("Hola "&amp;E227&amp;", tu cuenta de "&amp;A227&amp;" vence el "&amp;TEXT(I227,"dd/mm/yyyy")&amp;". Deseas renovarla?"," ","%20"),"?","%3F")),"Enviar recordatorio"))</f>
        <v/>
      </c>
      <c r="T227" s="14" t="n"/>
    </row>
    <row r="228" ht="15" customHeight="1" s="28">
      <c r="A228" s="14" t="n"/>
      <c r="B228" s="14" t="n"/>
      <c r="C228" s="14" t="n"/>
      <c r="D228" s="14" t="n"/>
      <c r="E228" s="14" t="n"/>
      <c r="F228" s="14" t="n"/>
      <c r="G228" s="14" t="n"/>
      <c r="H228" s="15" t="n"/>
      <c r="I228" s="15" t="n"/>
      <c r="J228" s="14" t="n"/>
      <c r="K228" s="16">
        <f>IFERROR(VLOOKUP(A228,Precios!$A$5:$C$14,2,FALSE()),"")</f>
        <v/>
      </c>
      <c r="L228" s="16">
        <f>IFERROR(VLOOKUP(A228,Precios!$A$5:$C$14,3,FALSE()),"")</f>
        <v/>
      </c>
      <c r="M228" s="16">
        <f>IF(AND(K228&lt;&gt;"",L228&lt;&gt;""),L228-K228,"")</f>
        <v/>
      </c>
      <c r="N228" s="14">
        <f>IF(AND(H228&lt;&gt;"",I228&lt;&gt;""),I228-H228,"")</f>
        <v/>
      </c>
      <c r="O228" s="14">
        <f>IF(I228&lt;&gt;"",I228-TODAY(),"")</f>
        <v/>
      </c>
      <c r="P228" s="15">
        <f>IF(I228="","",IF(J228="Anual",I228+365,I228+30))</f>
        <v/>
      </c>
      <c r="Q228" s="14">
        <f>IF(I228="","",IF(O228&lt;0,"Vencida",IF(O228&lt;=3,"Por vencer","Activa")))</f>
        <v/>
      </c>
      <c r="R228" s="14" t="n"/>
      <c r="S228" s="14">
        <f>IF(OR(E228="",I228=""),"",HYPERLINK(IF(F228&lt;&gt;"","https://wa.me/"&amp;SUBSTITUTE(SUBSTITUTE(SUBSTITUTE(F228,"+",""),"-","")," ","")&amp;"?text="&amp;SUBSTITUTE(SUBSTITUTE("Hola "&amp;E228&amp;", tu cuenta de "&amp;A228&amp;" vence el "&amp;TEXT(I228,"dd/mm/yyyy")&amp;". Deseas renovarla?"," ","%20"),"?","%3F"),"https://api.whatsapp.com/send?text="&amp;SUBSTITUTE(SUBSTITUTE("Hola "&amp;E228&amp;", tu cuenta de "&amp;A228&amp;" vence el "&amp;TEXT(I228,"dd/mm/yyyy")&amp;". Deseas renovarla?"," ","%20"),"?","%3F")),"Enviar recordatorio"))</f>
        <v/>
      </c>
      <c r="T228" s="14" t="n"/>
    </row>
    <row r="229" ht="15" customHeight="1" s="28">
      <c r="A229" s="14" t="n"/>
      <c r="B229" s="14" t="n"/>
      <c r="C229" s="14" t="n"/>
      <c r="D229" s="14" t="n"/>
      <c r="E229" s="14" t="n"/>
      <c r="F229" s="14" t="n"/>
      <c r="G229" s="14" t="n"/>
      <c r="H229" s="15" t="n"/>
      <c r="I229" s="15" t="n"/>
      <c r="J229" s="14" t="n"/>
      <c r="K229" s="16">
        <f>IFERROR(VLOOKUP(A229,Precios!$A$5:$C$14,2,FALSE()),"")</f>
        <v/>
      </c>
      <c r="L229" s="16">
        <f>IFERROR(VLOOKUP(A229,Precios!$A$5:$C$14,3,FALSE()),"")</f>
        <v/>
      </c>
      <c r="M229" s="16">
        <f>IF(AND(K229&lt;&gt;"",L229&lt;&gt;""),L229-K229,"")</f>
        <v/>
      </c>
      <c r="N229" s="14">
        <f>IF(AND(H229&lt;&gt;"",I229&lt;&gt;""),I229-H229,"")</f>
        <v/>
      </c>
      <c r="O229" s="14">
        <f>IF(I229&lt;&gt;"",I229-TODAY(),"")</f>
        <v/>
      </c>
      <c r="P229" s="15">
        <f>IF(I229="","",IF(J229="Anual",I229+365,I229+30))</f>
        <v/>
      </c>
      <c r="Q229" s="14">
        <f>IF(I229="","",IF(O229&lt;0,"Vencida",IF(O229&lt;=3,"Por vencer","Activa")))</f>
        <v/>
      </c>
      <c r="R229" s="14" t="n"/>
      <c r="S229" s="14">
        <f>IF(OR(E229="",I229=""),"",HYPERLINK(IF(F229&lt;&gt;"","https://wa.me/"&amp;SUBSTITUTE(SUBSTITUTE(SUBSTITUTE(F229,"+",""),"-","")," ","")&amp;"?text="&amp;SUBSTITUTE(SUBSTITUTE("Hola "&amp;E229&amp;", tu cuenta de "&amp;A229&amp;" vence el "&amp;TEXT(I229,"dd/mm/yyyy")&amp;". Deseas renovarla?"," ","%20"),"?","%3F"),"https://api.whatsapp.com/send?text="&amp;SUBSTITUTE(SUBSTITUTE("Hola "&amp;E229&amp;", tu cuenta de "&amp;A229&amp;" vence el "&amp;TEXT(I229,"dd/mm/yyyy")&amp;". Deseas renovarla?"," ","%20"),"?","%3F")),"Enviar recordatorio"))</f>
        <v/>
      </c>
      <c r="T229" s="14" t="n"/>
    </row>
    <row r="230" ht="15" customHeight="1" s="28">
      <c r="A230" s="14" t="n"/>
      <c r="B230" s="14" t="n"/>
      <c r="C230" s="14" t="n"/>
      <c r="D230" s="14" t="n"/>
      <c r="E230" s="14" t="n"/>
      <c r="F230" s="14" t="n"/>
      <c r="G230" s="14" t="n"/>
      <c r="H230" s="15" t="n"/>
      <c r="I230" s="15" t="n"/>
      <c r="J230" s="14" t="n"/>
      <c r="K230" s="16">
        <f>IFERROR(VLOOKUP(A230,Precios!$A$5:$C$14,2,FALSE()),"")</f>
        <v/>
      </c>
      <c r="L230" s="16">
        <f>IFERROR(VLOOKUP(A230,Precios!$A$5:$C$14,3,FALSE()),"")</f>
        <v/>
      </c>
      <c r="M230" s="16">
        <f>IF(AND(K230&lt;&gt;"",L230&lt;&gt;""),L230-K230,"")</f>
        <v/>
      </c>
      <c r="N230" s="14">
        <f>IF(AND(H230&lt;&gt;"",I230&lt;&gt;""),I230-H230,"")</f>
        <v/>
      </c>
      <c r="O230" s="14">
        <f>IF(I230&lt;&gt;"",I230-TODAY(),"")</f>
        <v/>
      </c>
      <c r="P230" s="15">
        <f>IF(I230="","",IF(J230="Anual",I230+365,I230+30))</f>
        <v/>
      </c>
      <c r="Q230" s="14">
        <f>IF(I230="","",IF(O230&lt;0,"Vencida",IF(O230&lt;=3,"Por vencer","Activa")))</f>
        <v/>
      </c>
      <c r="R230" s="14" t="n"/>
      <c r="S230" s="14">
        <f>IF(OR(E230="",I230=""),"",HYPERLINK(IF(F230&lt;&gt;"","https://wa.me/"&amp;SUBSTITUTE(SUBSTITUTE(SUBSTITUTE(F230,"+",""),"-","")," ","")&amp;"?text="&amp;SUBSTITUTE(SUBSTITUTE("Hola "&amp;E230&amp;", tu cuenta de "&amp;A230&amp;" vence el "&amp;TEXT(I230,"dd/mm/yyyy")&amp;". Deseas renovarla?"," ","%20"),"?","%3F"),"https://api.whatsapp.com/send?text="&amp;SUBSTITUTE(SUBSTITUTE("Hola "&amp;E230&amp;", tu cuenta de "&amp;A230&amp;" vence el "&amp;TEXT(I230,"dd/mm/yyyy")&amp;". Deseas renovarla?"," ","%20"),"?","%3F")),"Enviar recordatorio"))</f>
        <v/>
      </c>
      <c r="T230" s="14" t="n"/>
    </row>
    <row r="231" ht="15" customHeight="1" s="28">
      <c r="A231" s="14" t="n"/>
      <c r="B231" s="14" t="n"/>
      <c r="C231" s="14" t="n"/>
      <c r="D231" s="14" t="n"/>
      <c r="E231" s="14" t="n"/>
      <c r="F231" s="14" t="n"/>
      <c r="G231" s="14" t="n"/>
      <c r="H231" s="15" t="n"/>
      <c r="I231" s="15" t="n"/>
      <c r="J231" s="14" t="n"/>
      <c r="K231" s="16">
        <f>IFERROR(VLOOKUP(A231,Precios!$A$5:$C$14,2,FALSE()),"")</f>
        <v/>
      </c>
      <c r="L231" s="16">
        <f>IFERROR(VLOOKUP(A231,Precios!$A$5:$C$14,3,FALSE()),"")</f>
        <v/>
      </c>
      <c r="M231" s="16">
        <f>IF(AND(K231&lt;&gt;"",L231&lt;&gt;""),L231-K231,"")</f>
        <v/>
      </c>
      <c r="N231" s="14">
        <f>IF(AND(H231&lt;&gt;"",I231&lt;&gt;""),I231-H231,"")</f>
        <v/>
      </c>
      <c r="O231" s="14">
        <f>IF(I231&lt;&gt;"",I231-TODAY(),"")</f>
        <v/>
      </c>
      <c r="P231" s="15">
        <f>IF(I231="","",IF(J231="Anual",I231+365,I231+30))</f>
        <v/>
      </c>
      <c r="Q231" s="14">
        <f>IF(I231="","",IF(O231&lt;0,"Vencida",IF(O231&lt;=3,"Por vencer","Activa")))</f>
        <v/>
      </c>
      <c r="R231" s="14" t="n"/>
      <c r="S231" s="14">
        <f>IF(OR(E231="",I231=""),"",HYPERLINK(IF(F231&lt;&gt;"","https://wa.me/"&amp;SUBSTITUTE(SUBSTITUTE(SUBSTITUTE(F231,"+",""),"-","")," ","")&amp;"?text="&amp;SUBSTITUTE(SUBSTITUTE("Hola "&amp;E231&amp;", tu cuenta de "&amp;A231&amp;" vence el "&amp;TEXT(I231,"dd/mm/yyyy")&amp;". Deseas renovarla?"," ","%20"),"?","%3F"),"https://api.whatsapp.com/send?text="&amp;SUBSTITUTE(SUBSTITUTE("Hola "&amp;E231&amp;", tu cuenta de "&amp;A231&amp;" vence el "&amp;TEXT(I231,"dd/mm/yyyy")&amp;". Deseas renovarla?"," ","%20"),"?","%3F")),"Enviar recordatorio"))</f>
        <v/>
      </c>
      <c r="T231" s="14" t="n"/>
    </row>
    <row r="232" ht="15" customHeight="1" s="28">
      <c r="A232" s="14" t="n"/>
      <c r="B232" s="14" t="n"/>
      <c r="C232" s="14" t="n"/>
      <c r="D232" s="14" t="n"/>
      <c r="E232" s="14" t="n"/>
      <c r="F232" s="14" t="n"/>
      <c r="G232" s="14" t="n"/>
      <c r="H232" s="15" t="n"/>
      <c r="I232" s="15" t="n"/>
      <c r="J232" s="14" t="n"/>
      <c r="K232" s="16">
        <f>IFERROR(VLOOKUP(A232,Precios!$A$5:$C$14,2,FALSE()),"")</f>
        <v/>
      </c>
      <c r="L232" s="16">
        <f>IFERROR(VLOOKUP(A232,Precios!$A$5:$C$14,3,FALSE()),"")</f>
        <v/>
      </c>
      <c r="M232" s="16">
        <f>IF(AND(K232&lt;&gt;"",L232&lt;&gt;""),L232-K232,"")</f>
        <v/>
      </c>
      <c r="N232" s="14">
        <f>IF(AND(H232&lt;&gt;"",I232&lt;&gt;""),I232-H232,"")</f>
        <v/>
      </c>
      <c r="O232" s="14">
        <f>IF(I232&lt;&gt;"",I232-TODAY(),"")</f>
        <v/>
      </c>
      <c r="P232" s="15">
        <f>IF(I232="","",IF(J232="Anual",I232+365,I232+30))</f>
        <v/>
      </c>
      <c r="Q232" s="14">
        <f>IF(I232="","",IF(O232&lt;0,"Vencida",IF(O232&lt;=3,"Por vencer","Activa")))</f>
        <v/>
      </c>
      <c r="R232" s="14" t="n"/>
      <c r="S232" s="14">
        <f>IF(OR(E232="",I232=""),"",HYPERLINK(IF(F232&lt;&gt;"","https://wa.me/"&amp;SUBSTITUTE(SUBSTITUTE(SUBSTITUTE(F232,"+",""),"-","")," ","")&amp;"?text="&amp;SUBSTITUTE(SUBSTITUTE("Hola "&amp;E232&amp;", tu cuenta de "&amp;A232&amp;" vence el "&amp;TEXT(I232,"dd/mm/yyyy")&amp;". Deseas renovarla?"," ","%20"),"?","%3F"),"https://api.whatsapp.com/send?text="&amp;SUBSTITUTE(SUBSTITUTE("Hola "&amp;E232&amp;", tu cuenta de "&amp;A232&amp;" vence el "&amp;TEXT(I232,"dd/mm/yyyy")&amp;". Deseas renovarla?"," ","%20"),"?","%3F")),"Enviar recordatorio"))</f>
        <v/>
      </c>
      <c r="T232" s="14" t="n"/>
    </row>
    <row r="233" ht="15" customHeight="1" s="28">
      <c r="A233" s="14" t="n"/>
      <c r="B233" s="14" t="n"/>
      <c r="C233" s="14" t="n"/>
      <c r="D233" s="14" t="n"/>
      <c r="E233" s="14" t="n"/>
      <c r="F233" s="14" t="n"/>
      <c r="G233" s="14" t="n"/>
      <c r="H233" s="15" t="n"/>
      <c r="I233" s="15" t="n"/>
      <c r="J233" s="14" t="n"/>
      <c r="K233" s="16">
        <f>IFERROR(VLOOKUP(A233,Precios!$A$5:$C$14,2,FALSE()),"")</f>
        <v/>
      </c>
      <c r="L233" s="16">
        <f>IFERROR(VLOOKUP(A233,Precios!$A$5:$C$14,3,FALSE()),"")</f>
        <v/>
      </c>
      <c r="M233" s="16">
        <f>IF(AND(K233&lt;&gt;"",L233&lt;&gt;""),L233-K233,"")</f>
        <v/>
      </c>
      <c r="N233" s="14">
        <f>IF(AND(H233&lt;&gt;"",I233&lt;&gt;""),I233-H233,"")</f>
        <v/>
      </c>
      <c r="O233" s="14">
        <f>IF(I233&lt;&gt;"",I233-TODAY(),"")</f>
        <v/>
      </c>
      <c r="P233" s="15">
        <f>IF(I233="","",IF(J233="Anual",I233+365,I233+30))</f>
        <v/>
      </c>
      <c r="Q233" s="14">
        <f>IF(I233="","",IF(O233&lt;0,"Vencida",IF(O233&lt;=3,"Por vencer","Activa")))</f>
        <v/>
      </c>
      <c r="R233" s="14" t="n"/>
      <c r="S233" s="14">
        <f>IF(OR(E233="",I233=""),"",HYPERLINK(IF(F233&lt;&gt;"","https://wa.me/"&amp;SUBSTITUTE(SUBSTITUTE(SUBSTITUTE(F233,"+",""),"-","")," ","")&amp;"?text="&amp;SUBSTITUTE(SUBSTITUTE("Hola "&amp;E233&amp;", tu cuenta de "&amp;A233&amp;" vence el "&amp;TEXT(I233,"dd/mm/yyyy")&amp;". Deseas renovarla?"," ","%20"),"?","%3F"),"https://api.whatsapp.com/send?text="&amp;SUBSTITUTE(SUBSTITUTE("Hola "&amp;E233&amp;", tu cuenta de "&amp;A233&amp;" vence el "&amp;TEXT(I233,"dd/mm/yyyy")&amp;". Deseas renovarla?"," ","%20"),"?","%3F")),"Enviar recordatorio"))</f>
        <v/>
      </c>
      <c r="T233" s="14" t="n"/>
    </row>
    <row r="234" ht="15" customHeight="1" s="28">
      <c r="A234" s="14" t="n"/>
      <c r="B234" s="14" t="n"/>
      <c r="C234" s="14" t="n"/>
      <c r="D234" s="14" t="n"/>
      <c r="E234" s="14" t="n"/>
      <c r="F234" s="14" t="n"/>
      <c r="G234" s="14" t="n"/>
      <c r="H234" s="15" t="n"/>
      <c r="I234" s="15" t="n"/>
      <c r="J234" s="14" t="n"/>
      <c r="K234" s="16">
        <f>IFERROR(VLOOKUP(A234,Precios!$A$5:$C$14,2,FALSE()),"")</f>
        <v/>
      </c>
      <c r="L234" s="16">
        <f>IFERROR(VLOOKUP(A234,Precios!$A$5:$C$14,3,FALSE()),"")</f>
        <v/>
      </c>
      <c r="M234" s="16">
        <f>IF(AND(K234&lt;&gt;"",L234&lt;&gt;""),L234-K234,"")</f>
        <v/>
      </c>
      <c r="N234" s="14">
        <f>IF(AND(H234&lt;&gt;"",I234&lt;&gt;""),I234-H234,"")</f>
        <v/>
      </c>
      <c r="O234" s="14">
        <f>IF(I234&lt;&gt;"",I234-TODAY(),"")</f>
        <v/>
      </c>
      <c r="P234" s="15">
        <f>IF(I234="","",IF(J234="Anual",I234+365,I234+30))</f>
        <v/>
      </c>
      <c r="Q234" s="14">
        <f>IF(I234="","",IF(O234&lt;0,"Vencida",IF(O234&lt;=3,"Por vencer","Activa")))</f>
        <v/>
      </c>
      <c r="R234" s="14" t="n"/>
      <c r="S234" s="14">
        <f>IF(OR(E234="",I234=""),"",HYPERLINK(IF(F234&lt;&gt;"","https://wa.me/"&amp;SUBSTITUTE(SUBSTITUTE(SUBSTITUTE(F234,"+",""),"-","")," ","")&amp;"?text="&amp;SUBSTITUTE(SUBSTITUTE("Hola "&amp;E234&amp;", tu cuenta de "&amp;A234&amp;" vence el "&amp;TEXT(I234,"dd/mm/yyyy")&amp;". Deseas renovarla?"," ","%20"),"?","%3F"),"https://api.whatsapp.com/send?text="&amp;SUBSTITUTE(SUBSTITUTE("Hola "&amp;E234&amp;", tu cuenta de "&amp;A234&amp;" vence el "&amp;TEXT(I234,"dd/mm/yyyy")&amp;". Deseas renovarla?"," ","%20"),"?","%3F")),"Enviar recordatorio"))</f>
        <v/>
      </c>
      <c r="T234" s="14" t="n"/>
    </row>
    <row r="235" ht="15" customHeight="1" s="28">
      <c r="A235" s="14" t="n"/>
      <c r="B235" s="14" t="n"/>
      <c r="C235" s="14" t="n"/>
      <c r="D235" s="14" t="n"/>
      <c r="E235" s="14" t="n"/>
      <c r="F235" s="14" t="n"/>
      <c r="G235" s="14" t="n"/>
      <c r="H235" s="15" t="n"/>
      <c r="I235" s="15" t="n"/>
      <c r="J235" s="14" t="n"/>
      <c r="K235" s="16">
        <f>IFERROR(VLOOKUP(A235,Precios!$A$5:$C$14,2,FALSE()),"")</f>
        <v/>
      </c>
      <c r="L235" s="16">
        <f>IFERROR(VLOOKUP(A235,Precios!$A$5:$C$14,3,FALSE()),"")</f>
        <v/>
      </c>
      <c r="M235" s="16">
        <f>IF(AND(K235&lt;&gt;"",L235&lt;&gt;""),L235-K235,"")</f>
        <v/>
      </c>
      <c r="N235" s="14">
        <f>IF(AND(H235&lt;&gt;"",I235&lt;&gt;""),I235-H235,"")</f>
        <v/>
      </c>
      <c r="O235" s="14">
        <f>IF(I235&lt;&gt;"",I235-TODAY(),"")</f>
        <v/>
      </c>
      <c r="P235" s="15">
        <f>IF(I235="","",IF(J235="Anual",I235+365,I235+30))</f>
        <v/>
      </c>
      <c r="Q235" s="14">
        <f>IF(I235="","",IF(O235&lt;0,"Vencida",IF(O235&lt;=3,"Por vencer","Activa")))</f>
        <v/>
      </c>
      <c r="R235" s="14" t="n"/>
      <c r="S235" s="14">
        <f>IF(OR(E235="",I235=""),"",HYPERLINK(IF(F235&lt;&gt;"","https://wa.me/"&amp;SUBSTITUTE(SUBSTITUTE(SUBSTITUTE(F235,"+",""),"-","")," ","")&amp;"?text="&amp;SUBSTITUTE(SUBSTITUTE("Hola "&amp;E235&amp;", tu cuenta de "&amp;A235&amp;" vence el "&amp;TEXT(I235,"dd/mm/yyyy")&amp;". Deseas renovarla?"," ","%20"),"?","%3F"),"https://api.whatsapp.com/send?text="&amp;SUBSTITUTE(SUBSTITUTE("Hola "&amp;E235&amp;", tu cuenta de "&amp;A235&amp;" vence el "&amp;TEXT(I235,"dd/mm/yyyy")&amp;". Deseas renovarla?"," ","%20"),"?","%3F")),"Enviar recordatorio"))</f>
        <v/>
      </c>
      <c r="T235" s="14" t="n"/>
    </row>
    <row r="236" ht="15" customHeight="1" s="28">
      <c r="A236" s="14" t="n"/>
      <c r="B236" s="14" t="n"/>
      <c r="C236" s="14" t="n"/>
      <c r="D236" s="14" t="n"/>
      <c r="E236" s="14" t="n"/>
      <c r="F236" s="14" t="n"/>
      <c r="G236" s="14" t="n"/>
      <c r="H236" s="15" t="n"/>
      <c r="I236" s="15" t="n"/>
      <c r="J236" s="14" t="n"/>
      <c r="K236" s="16">
        <f>IFERROR(VLOOKUP(A236,Precios!$A$5:$C$14,2,FALSE()),"")</f>
        <v/>
      </c>
      <c r="L236" s="16">
        <f>IFERROR(VLOOKUP(A236,Precios!$A$5:$C$14,3,FALSE()),"")</f>
        <v/>
      </c>
      <c r="M236" s="16">
        <f>IF(AND(K236&lt;&gt;"",L236&lt;&gt;""),L236-K236,"")</f>
        <v/>
      </c>
      <c r="N236" s="14">
        <f>IF(AND(H236&lt;&gt;"",I236&lt;&gt;""),I236-H236,"")</f>
        <v/>
      </c>
      <c r="O236" s="14">
        <f>IF(I236&lt;&gt;"",I236-TODAY(),"")</f>
        <v/>
      </c>
      <c r="P236" s="15">
        <f>IF(I236="","",IF(J236="Anual",I236+365,I236+30))</f>
        <v/>
      </c>
      <c r="Q236" s="14">
        <f>IF(I236="","",IF(O236&lt;0,"Vencida",IF(O236&lt;=3,"Por vencer","Activa")))</f>
        <v/>
      </c>
      <c r="R236" s="14" t="n"/>
      <c r="S236" s="14">
        <f>IF(OR(E236="",I236=""),"",HYPERLINK(IF(F236&lt;&gt;"","https://wa.me/"&amp;SUBSTITUTE(SUBSTITUTE(SUBSTITUTE(F236,"+",""),"-","")," ","")&amp;"?text="&amp;SUBSTITUTE(SUBSTITUTE("Hola "&amp;E236&amp;", tu cuenta de "&amp;A236&amp;" vence el "&amp;TEXT(I236,"dd/mm/yyyy")&amp;". Deseas renovarla?"," ","%20"),"?","%3F"),"https://api.whatsapp.com/send?text="&amp;SUBSTITUTE(SUBSTITUTE("Hola "&amp;E236&amp;", tu cuenta de "&amp;A236&amp;" vence el "&amp;TEXT(I236,"dd/mm/yyyy")&amp;". Deseas renovarla?"," ","%20"),"?","%3F")),"Enviar recordatorio"))</f>
        <v/>
      </c>
      <c r="T236" s="14" t="n"/>
    </row>
    <row r="237" ht="15" customHeight="1" s="28">
      <c r="A237" s="14" t="n"/>
      <c r="B237" s="14" t="n"/>
      <c r="C237" s="14" t="n"/>
      <c r="D237" s="14" t="n"/>
      <c r="E237" s="14" t="n"/>
      <c r="F237" s="14" t="n"/>
      <c r="G237" s="14" t="n"/>
      <c r="H237" s="15" t="n"/>
      <c r="I237" s="15" t="n"/>
      <c r="J237" s="14" t="n"/>
      <c r="K237" s="16">
        <f>IFERROR(VLOOKUP(A237,Precios!$A$5:$C$14,2,FALSE()),"")</f>
        <v/>
      </c>
      <c r="L237" s="16">
        <f>IFERROR(VLOOKUP(A237,Precios!$A$5:$C$14,3,FALSE()),"")</f>
        <v/>
      </c>
      <c r="M237" s="16">
        <f>IF(AND(K237&lt;&gt;"",L237&lt;&gt;""),L237-K237,"")</f>
        <v/>
      </c>
      <c r="N237" s="14">
        <f>IF(AND(H237&lt;&gt;"",I237&lt;&gt;""),I237-H237,"")</f>
        <v/>
      </c>
      <c r="O237" s="14">
        <f>IF(I237&lt;&gt;"",I237-TODAY(),"")</f>
        <v/>
      </c>
      <c r="P237" s="15">
        <f>IF(I237="","",IF(J237="Anual",I237+365,I237+30))</f>
        <v/>
      </c>
      <c r="Q237" s="14">
        <f>IF(I237="","",IF(O237&lt;0,"Vencida",IF(O237&lt;=3,"Por vencer","Activa")))</f>
        <v/>
      </c>
      <c r="R237" s="14" t="n"/>
      <c r="S237" s="14">
        <f>IF(OR(E237="",I237=""),"",HYPERLINK(IF(F237&lt;&gt;"","https://wa.me/"&amp;SUBSTITUTE(SUBSTITUTE(SUBSTITUTE(F237,"+",""),"-","")," ","")&amp;"?text="&amp;SUBSTITUTE(SUBSTITUTE("Hola "&amp;E237&amp;", tu cuenta de "&amp;A237&amp;" vence el "&amp;TEXT(I237,"dd/mm/yyyy")&amp;". Deseas renovarla?"," ","%20"),"?","%3F"),"https://api.whatsapp.com/send?text="&amp;SUBSTITUTE(SUBSTITUTE("Hola "&amp;E237&amp;", tu cuenta de "&amp;A237&amp;" vence el "&amp;TEXT(I237,"dd/mm/yyyy")&amp;". Deseas renovarla?"," ","%20"),"?","%3F")),"Enviar recordatorio"))</f>
        <v/>
      </c>
      <c r="T237" s="14" t="n"/>
    </row>
    <row r="238" ht="15" customHeight="1" s="28">
      <c r="A238" s="14" t="n"/>
      <c r="B238" s="14" t="n"/>
      <c r="C238" s="14" t="n"/>
      <c r="D238" s="14" t="n"/>
      <c r="E238" s="14" t="n"/>
      <c r="F238" s="14" t="n"/>
      <c r="G238" s="14" t="n"/>
      <c r="H238" s="15" t="n"/>
      <c r="I238" s="15" t="n"/>
      <c r="J238" s="14" t="n"/>
      <c r="K238" s="16">
        <f>IFERROR(VLOOKUP(A238,Precios!$A$5:$C$14,2,FALSE()),"")</f>
        <v/>
      </c>
      <c r="L238" s="16">
        <f>IFERROR(VLOOKUP(A238,Precios!$A$5:$C$14,3,FALSE()),"")</f>
        <v/>
      </c>
      <c r="M238" s="16">
        <f>IF(AND(K238&lt;&gt;"",L238&lt;&gt;""),L238-K238,"")</f>
        <v/>
      </c>
      <c r="N238" s="14">
        <f>IF(AND(H238&lt;&gt;"",I238&lt;&gt;""),I238-H238,"")</f>
        <v/>
      </c>
      <c r="O238" s="14">
        <f>IF(I238&lt;&gt;"",I238-TODAY(),"")</f>
        <v/>
      </c>
      <c r="P238" s="15">
        <f>IF(I238="","",IF(J238="Anual",I238+365,I238+30))</f>
        <v/>
      </c>
      <c r="Q238" s="14">
        <f>IF(I238="","",IF(O238&lt;0,"Vencida",IF(O238&lt;=3,"Por vencer","Activa")))</f>
        <v/>
      </c>
      <c r="R238" s="14" t="n"/>
      <c r="S238" s="14">
        <f>IF(OR(E238="",I238=""),"",HYPERLINK(IF(F238&lt;&gt;"","https://wa.me/"&amp;SUBSTITUTE(SUBSTITUTE(SUBSTITUTE(F238,"+",""),"-","")," ","")&amp;"?text="&amp;SUBSTITUTE(SUBSTITUTE("Hola "&amp;E238&amp;", tu cuenta de "&amp;A238&amp;" vence el "&amp;TEXT(I238,"dd/mm/yyyy")&amp;". Deseas renovarla?"," ","%20"),"?","%3F"),"https://api.whatsapp.com/send?text="&amp;SUBSTITUTE(SUBSTITUTE("Hola "&amp;E238&amp;", tu cuenta de "&amp;A238&amp;" vence el "&amp;TEXT(I238,"dd/mm/yyyy")&amp;". Deseas renovarla?"," ","%20"),"?","%3F")),"Enviar recordatorio"))</f>
        <v/>
      </c>
      <c r="T238" s="14" t="n"/>
    </row>
    <row r="239" ht="15" customHeight="1" s="28">
      <c r="A239" s="14" t="n"/>
      <c r="B239" s="14" t="n"/>
      <c r="C239" s="14" t="n"/>
      <c r="D239" s="14" t="n"/>
      <c r="E239" s="14" t="n"/>
      <c r="F239" s="14" t="n"/>
      <c r="G239" s="14" t="n"/>
      <c r="H239" s="15" t="n"/>
      <c r="I239" s="15" t="n"/>
      <c r="J239" s="14" t="n"/>
      <c r="K239" s="16">
        <f>IFERROR(VLOOKUP(A239,Precios!$A$5:$C$14,2,FALSE()),"")</f>
        <v/>
      </c>
      <c r="L239" s="16">
        <f>IFERROR(VLOOKUP(A239,Precios!$A$5:$C$14,3,FALSE()),"")</f>
        <v/>
      </c>
      <c r="M239" s="16">
        <f>IF(AND(K239&lt;&gt;"",L239&lt;&gt;""),L239-K239,"")</f>
        <v/>
      </c>
      <c r="N239" s="14">
        <f>IF(AND(H239&lt;&gt;"",I239&lt;&gt;""),I239-H239,"")</f>
        <v/>
      </c>
      <c r="O239" s="14">
        <f>IF(I239&lt;&gt;"",I239-TODAY(),"")</f>
        <v/>
      </c>
      <c r="P239" s="15">
        <f>IF(I239="","",IF(J239="Anual",I239+365,I239+30))</f>
        <v/>
      </c>
      <c r="Q239" s="14">
        <f>IF(I239="","",IF(O239&lt;0,"Vencida",IF(O239&lt;=3,"Por vencer","Activa")))</f>
        <v/>
      </c>
      <c r="R239" s="14" t="n"/>
      <c r="S239" s="14">
        <f>IF(OR(E239="",I239=""),"",HYPERLINK(IF(F239&lt;&gt;"","https://wa.me/"&amp;SUBSTITUTE(SUBSTITUTE(SUBSTITUTE(F239,"+",""),"-","")," ","")&amp;"?text="&amp;SUBSTITUTE(SUBSTITUTE("Hola "&amp;E239&amp;", tu cuenta de "&amp;A239&amp;" vence el "&amp;TEXT(I239,"dd/mm/yyyy")&amp;". Deseas renovarla?"," ","%20"),"?","%3F"),"https://api.whatsapp.com/send?text="&amp;SUBSTITUTE(SUBSTITUTE("Hola "&amp;E239&amp;", tu cuenta de "&amp;A239&amp;" vence el "&amp;TEXT(I239,"dd/mm/yyyy")&amp;". Deseas renovarla?"," ","%20"),"?","%3F")),"Enviar recordatorio"))</f>
        <v/>
      </c>
      <c r="T239" s="14" t="n"/>
    </row>
    <row r="240" ht="15" customHeight="1" s="28">
      <c r="A240" s="14" t="n"/>
      <c r="B240" s="14" t="n"/>
      <c r="C240" s="14" t="n"/>
      <c r="D240" s="14" t="n"/>
      <c r="E240" s="14" t="n"/>
      <c r="F240" s="14" t="n"/>
      <c r="G240" s="14" t="n"/>
      <c r="H240" s="15" t="n"/>
      <c r="I240" s="15" t="n"/>
      <c r="J240" s="14" t="n"/>
      <c r="K240" s="16">
        <f>IFERROR(VLOOKUP(A240,Precios!$A$5:$C$14,2,FALSE()),"")</f>
        <v/>
      </c>
      <c r="L240" s="16">
        <f>IFERROR(VLOOKUP(A240,Precios!$A$5:$C$14,3,FALSE()),"")</f>
        <v/>
      </c>
      <c r="M240" s="16">
        <f>IF(AND(K240&lt;&gt;"",L240&lt;&gt;""),L240-K240,"")</f>
        <v/>
      </c>
      <c r="N240" s="14">
        <f>IF(AND(H240&lt;&gt;"",I240&lt;&gt;""),I240-H240,"")</f>
        <v/>
      </c>
      <c r="O240" s="14">
        <f>IF(I240&lt;&gt;"",I240-TODAY(),"")</f>
        <v/>
      </c>
      <c r="P240" s="15">
        <f>IF(I240="","",IF(J240="Anual",I240+365,I240+30))</f>
        <v/>
      </c>
      <c r="Q240" s="14">
        <f>IF(I240="","",IF(O240&lt;0,"Vencida",IF(O240&lt;=3,"Por vencer","Activa")))</f>
        <v/>
      </c>
      <c r="R240" s="14" t="n"/>
      <c r="S240" s="14">
        <f>IF(OR(E240="",I240=""),"",HYPERLINK(IF(F240&lt;&gt;"","https://wa.me/"&amp;SUBSTITUTE(SUBSTITUTE(SUBSTITUTE(F240,"+",""),"-","")," ","")&amp;"?text="&amp;SUBSTITUTE(SUBSTITUTE("Hola "&amp;E240&amp;", tu cuenta de "&amp;A240&amp;" vence el "&amp;TEXT(I240,"dd/mm/yyyy")&amp;". Deseas renovarla?"," ","%20"),"?","%3F"),"https://api.whatsapp.com/send?text="&amp;SUBSTITUTE(SUBSTITUTE("Hola "&amp;E240&amp;", tu cuenta de "&amp;A240&amp;" vence el "&amp;TEXT(I240,"dd/mm/yyyy")&amp;". Deseas renovarla?"," ","%20"),"?","%3F")),"Enviar recordatorio"))</f>
        <v/>
      </c>
      <c r="T240" s="14" t="n"/>
    </row>
    <row r="241" ht="15" customHeight="1" s="28">
      <c r="A241" s="14" t="n"/>
      <c r="B241" s="14" t="n"/>
      <c r="C241" s="14" t="n"/>
      <c r="D241" s="14" t="n"/>
      <c r="E241" s="14" t="n"/>
      <c r="F241" s="14" t="n"/>
      <c r="G241" s="14" t="n"/>
      <c r="H241" s="15" t="n"/>
      <c r="I241" s="15" t="n"/>
      <c r="J241" s="14" t="n"/>
      <c r="K241" s="16">
        <f>IFERROR(VLOOKUP(A241,Precios!$A$5:$C$14,2,FALSE()),"")</f>
        <v/>
      </c>
      <c r="L241" s="16">
        <f>IFERROR(VLOOKUP(A241,Precios!$A$5:$C$14,3,FALSE()),"")</f>
        <v/>
      </c>
      <c r="M241" s="16">
        <f>IF(AND(K241&lt;&gt;"",L241&lt;&gt;""),L241-K241,"")</f>
        <v/>
      </c>
      <c r="N241" s="14">
        <f>IF(AND(H241&lt;&gt;"",I241&lt;&gt;""),I241-H241,"")</f>
        <v/>
      </c>
      <c r="O241" s="14">
        <f>IF(I241&lt;&gt;"",I241-TODAY(),"")</f>
        <v/>
      </c>
      <c r="P241" s="15">
        <f>IF(I241="","",IF(J241="Anual",I241+365,I241+30))</f>
        <v/>
      </c>
      <c r="Q241" s="14">
        <f>IF(I241="","",IF(O241&lt;0,"Vencida",IF(O241&lt;=3,"Por vencer","Activa")))</f>
        <v/>
      </c>
      <c r="R241" s="14" t="n"/>
      <c r="S241" s="14">
        <f>IF(OR(E241="",I241=""),"",HYPERLINK(IF(F241&lt;&gt;"","https://wa.me/"&amp;SUBSTITUTE(SUBSTITUTE(SUBSTITUTE(F241,"+",""),"-","")," ","")&amp;"?text="&amp;SUBSTITUTE(SUBSTITUTE("Hola "&amp;E241&amp;", tu cuenta de "&amp;A241&amp;" vence el "&amp;TEXT(I241,"dd/mm/yyyy")&amp;". Deseas renovarla?"," ","%20"),"?","%3F"),"https://api.whatsapp.com/send?text="&amp;SUBSTITUTE(SUBSTITUTE("Hola "&amp;E241&amp;", tu cuenta de "&amp;A241&amp;" vence el "&amp;TEXT(I241,"dd/mm/yyyy")&amp;". Deseas renovarla?"," ","%20"),"?","%3F")),"Enviar recordatorio"))</f>
        <v/>
      </c>
      <c r="T241" s="14" t="n"/>
    </row>
    <row r="242" ht="15" customHeight="1" s="28">
      <c r="A242" s="14" t="n"/>
      <c r="B242" s="14" t="n"/>
      <c r="C242" s="14" t="n"/>
      <c r="D242" s="14" t="n"/>
      <c r="E242" s="14" t="n"/>
      <c r="F242" s="14" t="n"/>
      <c r="G242" s="14" t="n"/>
      <c r="H242" s="15" t="n"/>
      <c r="I242" s="15" t="n"/>
      <c r="J242" s="14" t="n"/>
      <c r="K242" s="16">
        <f>IFERROR(VLOOKUP(A242,Precios!$A$5:$C$14,2,FALSE()),"")</f>
        <v/>
      </c>
      <c r="L242" s="16">
        <f>IFERROR(VLOOKUP(A242,Precios!$A$5:$C$14,3,FALSE()),"")</f>
        <v/>
      </c>
      <c r="M242" s="16">
        <f>IF(AND(K242&lt;&gt;"",L242&lt;&gt;""),L242-K242,"")</f>
        <v/>
      </c>
      <c r="N242" s="14">
        <f>IF(AND(H242&lt;&gt;"",I242&lt;&gt;""),I242-H242,"")</f>
        <v/>
      </c>
      <c r="O242" s="14">
        <f>IF(I242&lt;&gt;"",I242-TODAY(),"")</f>
        <v/>
      </c>
      <c r="P242" s="15">
        <f>IF(I242="","",IF(J242="Anual",I242+365,I242+30))</f>
        <v/>
      </c>
      <c r="Q242" s="14">
        <f>IF(I242="","",IF(O242&lt;0,"Vencida",IF(O242&lt;=3,"Por vencer","Activa")))</f>
        <v/>
      </c>
      <c r="R242" s="14" t="n"/>
      <c r="S242" s="14">
        <f>IF(OR(E242="",I242=""),"",HYPERLINK(IF(F242&lt;&gt;"","https://wa.me/"&amp;SUBSTITUTE(SUBSTITUTE(SUBSTITUTE(F242,"+",""),"-","")," ","")&amp;"?text="&amp;SUBSTITUTE(SUBSTITUTE("Hola "&amp;E242&amp;", tu cuenta de "&amp;A242&amp;" vence el "&amp;TEXT(I242,"dd/mm/yyyy")&amp;". Deseas renovarla?"," ","%20"),"?","%3F"),"https://api.whatsapp.com/send?text="&amp;SUBSTITUTE(SUBSTITUTE("Hola "&amp;E242&amp;", tu cuenta de "&amp;A242&amp;" vence el "&amp;TEXT(I242,"dd/mm/yyyy")&amp;". Deseas renovarla?"," ","%20"),"?","%3F")),"Enviar recordatorio"))</f>
        <v/>
      </c>
      <c r="T242" s="14" t="n"/>
    </row>
    <row r="243" ht="15" customHeight="1" s="28">
      <c r="A243" s="14" t="n"/>
      <c r="B243" s="14" t="n"/>
      <c r="C243" s="14" t="n"/>
      <c r="D243" s="14" t="n"/>
      <c r="E243" s="14" t="n"/>
      <c r="F243" s="14" t="n"/>
      <c r="G243" s="14" t="n"/>
      <c r="H243" s="15" t="n"/>
      <c r="I243" s="15" t="n"/>
      <c r="J243" s="14" t="n"/>
      <c r="K243" s="16">
        <f>IFERROR(VLOOKUP(A243,Precios!$A$5:$C$14,2,FALSE()),"")</f>
        <v/>
      </c>
      <c r="L243" s="16">
        <f>IFERROR(VLOOKUP(A243,Precios!$A$5:$C$14,3,FALSE()),"")</f>
        <v/>
      </c>
      <c r="M243" s="16">
        <f>IF(AND(K243&lt;&gt;"",L243&lt;&gt;""),L243-K243,"")</f>
        <v/>
      </c>
      <c r="N243" s="14">
        <f>IF(AND(H243&lt;&gt;"",I243&lt;&gt;""),I243-H243,"")</f>
        <v/>
      </c>
      <c r="O243" s="14">
        <f>IF(I243&lt;&gt;"",I243-TODAY(),"")</f>
        <v/>
      </c>
      <c r="P243" s="15">
        <f>IF(I243="","",IF(J243="Anual",I243+365,I243+30))</f>
        <v/>
      </c>
      <c r="Q243" s="14">
        <f>IF(I243="","",IF(O243&lt;0,"Vencida",IF(O243&lt;=3,"Por vencer","Activa")))</f>
        <v/>
      </c>
      <c r="R243" s="14" t="n"/>
      <c r="S243" s="14">
        <f>IF(OR(E243="",I243=""),"",HYPERLINK(IF(F243&lt;&gt;"","https://wa.me/"&amp;SUBSTITUTE(SUBSTITUTE(SUBSTITUTE(F243,"+",""),"-","")," ","")&amp;"?text="&amp;SUBSTITUTE(SUBSTITUTE("Hola "&amp;E243&amp;", tu cuenta de "&amp;A243&amp;" vence el "&amp;TEXT(I243,"dd/mm/yyyy")&amp;". Deseas renovarla?"," ","%20"),"?","%3F"),"https://api.whatsapp.com/send?text="&amp;SUBSTITUTE(SUBSTITUTE("Hola "&amp;E243&amp;", tu cuenta de "&amp;A243&amp;" vence el "&amp;TEXT(I243,"dd/mm/yyyy")&amp;". Deseas renovarla?"," ","%20"),"?","%3F")),"Enviar recordatorio"))</f>
        <v/>
      </c>
      <c r="T243" s="14" t="n"/>
    </row>
    <row r="244" ht="15" customHeight="1" s="28">
      <c r="A244" s="14" t="n"/>
      <c r="B244" s="14" t="n"/>
      <c r="C244" s="14" t="n"/>
      <c r="D244" s="14" t="n"/>
      <c r="E244" s="14" t="n"/>
      <c r="F244" s="14" t="n"/>
      <c r="G244" s="14" t="n"/>
      <c r="H244" s="15" t="n"/>
      <c r="I244" s="15" t="n"/>
      <c r="J244" s="14" t="n"/>
      <c r="K244" s="16">
        <f>IFERROR(VLOOKUP(A244,Precios!$A$5:$C$14,2,FALSE()),"")</f>
        <v/>
      </c>
      <c r="L244" s="16">
        <f>IFERROR(VLOOKUP(A244,Precios!$A$5:$C$14,3,FALSE()),"")</f>
        <v/>
      </c>
      <c r="M244" s="16">
        <f>IF(AND(K244&lt;&gt;"",L244&lt;&gt;""),L244-K244,"")</f>
        <v/>
      </c>
      <c r="N244" s="14">
        <f>IF(AND(H244&lt;&gt;"",I244&lt;&gt;""),I244-H244,"")</f>
        <v/>
      </c>
      <c r="O244" s="14">
        <f>IF(I244&lt;&gt;"",I244-TODAY(),"")</f>
        <v/>
      </c>
      <c r="P244" s="15">
        <f>IF(I244="","",IF(J244="Anual",I244+365,I244+30))</f>
        <v/>
      </c>
      <c r="Q244" s="14">
        <f>IF(I244="","",IF(O244&lt;0,"Vencida",IF(O244&lt;=3,"Por vencer","Activa")))</f>
        <v/>
      </c>
      <c r="R244" s="14" t="n"/>
      <c r="S244" s="14">
        <f>IF(OR(E244="",I244=""),"",HYPERLINK(IF(F244&lt;&gt;"","https://wa.me/"&amp;SUBSTITUTE(SUBSTITUTE(SUBSTITUTE(F244,"+",""),"-","")," ","")&amp;"?text="&amp;SUBSTITUTE(SUBSTITUTE("Hola "&amp;E244&amp;", tu cuenta de "&amp;A244&amp;" vence el "&amp;TEXT(I244,"dd/mm/yyyy")&amp;". Deseas renovarla?"," ","%20"),"?","%3F"),"https://api.whatsapp.com/send?text="&amp;SUBSTITUTE(SUBSTITUTE("Hola "&amp;E244&amp;", tu cuenta de "&amp;A244&amp;" vence el "&amp;TEXT(I244,"dd/mm/yyyy")&amp;". Deseas renovarla?"," ","%20"),"?","%3F")),"Enviar recordatorio"))</f>
        <v/>
      </c>
      <c r="T244" s="14" t="n"/>
    </row>
    <row r="245" ht="15" customHeight="1" s="28">
      <c r="A245" s="14" t="n"/>
      <c r="B245" s="14" t="n"/>
      <c r="C245" s="14" t="n"/>
      <c r="D245" s="14" t="n"/>
      <c r="E245" s="14" t="n"/>
      <c r="F245" s="14" t="n"/>
      <c r="G245" s="14" t="n"/>
      <c r="H245" s="15" t="n"/>
      <c r="I245" s="15" t="n"/>
      <c r="J245" s="14" t="n"/>
      <c r="K245" s="16">
        <f>IFERROR(VLOOKUP(A245,Precios!$A$5:$C$14,2,FALSE()),"")</f>
        <v/>
      </c>
      <c r="L245" s="16">
        <f>IFERROR(VLOOKUP(A245,Precios!$A$5:$C$14,3,FALSE()),"")</f>
        <v/>
      </c>
      <c r="M245" s="16">
        <f>IF(AND(K245&lt;&gt;"",L245&lt;&gt;""),L245-K245,"")</f>
        <v/>
      </c>
      <c r="N245" s="14">
        <f>IF(AND(H245&lt;&gt;"",I245&lt;&gt;""),I245-H245,"")</f>
        <v/>
      </c>
      <c r="O245" s="14">
        <f>IF(I245&lt;&gt;"",I245-TODAY(),"")</f>
        <v/>
      </c>
      <c r="P245" s="15">
        <f>IF(I245="","",IF(J245="Anual",I245+365,I245+30))</f>
        <v/>
      </c>
      <c r="Q245" s="14">
        <f>IF(I245="","",IF(O245&lt;0,"Vencida",IF(O245&lt;=3,"Por vencer","Activa")))</f>
        <v/>
      </c>
      <c r="R245" s="14" t="n"/>
      <c r="S245" s="14">
        <f>IF(OR(E245="",I245=""),"",HYPERLINK(IF(F245&lt;&gt;"","https://wa.me/"&amp;SUBSTITUTE(SUBSTITUTE(SUBSTITUTE(F245,"+",""),"-","")," ","")&amp;"?text="&amp;SUBSTITUTE(SUBSTITUTE("Hola "&amp;E245&amp;", tu cuenta de "&amp;A245&amp;" vence el "&amp;TEXT(I245,"dd/mm/yyyy")&amp;". Deseas renovarla?"," ","%20"),"?","%3F"),"https://api.whatsapp.com/send?text="&amp;SUBSTITUTE(SUBSTITUTE("Hola "&amp;E245&amp;", tu cuenta de "&amp;A245&amp;" vence el "&amp;TEXT(I245,"dd/mm/yyyy")&amp;". Deseas renovarla?"," ","%20"),"?","%3F")),"Enviar recordatorio"))</f>
        <v/>
      </c>
      <c r="T245" s="14" t="n"/>
    </row>
    <row r="246" ht="15" customHeight="1" s="28">
      <c r="A246" s="14" t="n"/>
      <c r="B246" s="14" t="n"/>
      <c r="C246" s="14" t="n"/>
      <c r="D246" s="14" t="n"/>
      <c r="E246" s="14" t="n"/>
      <c r="F246" s="14" t="n"/>
      <c r="G246" s="14" t="n"/>
      <c r="H246" s="15" t="n"/>
      <c r="I246" s="15" t="n"/>
      <c r="J246" s="14" t="n"/>
      <c r="K246" s="16">
        <f>IFERROR(VLOOKUP(A246,Precios!$A$5:$C$14,2,FALSE()),"")</f>
        <v/>
      </c>
      <c r="L246" s="16">
        <f>IFERROR(VLOOKUP(A246,Precios!$A$5:$C$14,3,FALSE()),"")</f>
        <v/>
      </c>
      <c r="M246" s="16">
        <f>IF(AND(K246&lt;&gt;"",L246&lt;&gt;""),L246-K246,"")</f>
        <v/>
      </c>
      <c r="N246" s="14">
        <f>IF(AND(H246&lt;&gt;"",I246&lt;&gt;""),I246-H246,"")</f>
        <v/>
      </c>
      <c r="O246" s="14">
        <f>IF(I246&lt;&gt;"",I246-TODAY(),"")</f>
        <v/>
      </c>
      <c r="P246" s="15">
        <f>IF(I246="","",IF(J246="Anual",I246+365,I246+30))</f>
        <v/>
      </c>
      <c r="Q246" s="14">
        <f>IF(I246="","",IF(O246&lt;0,"Vencida",IF(O246&lt;=3,"Por vencer","Activa")))</f>
        <v/>
      </c>
      <c r="R246" s="14" t="n"/>
      <c r="S246" s="14">
        <f>IF(OR(E246="",I246=""),"",HYPERLINK(IF(F246&lt;&gt;"","https://wa.me/"&amp;SUBSTITUTE(SUBSTITUTE(SUBSTITUTE(F246,"+",""),"-","")," ","")&amp;"?text="&amp;SUBSTITUTE(SUBSTITUTE("Hola "&amp;E246&amp;", tu cuenta de "&amp;A246&amp;" vence el "&amp;TEXT(I246,"dd/mm/yyyy")&amp;". Deseas renovarla?"," ","%20"),"?","%3F"),"https://api.whatsapp.com/send?text="&amp;SUBSTITUTE(SUBSTITUTE("Hola "&amp;E246&amp;", tu cuenta de "&amp;A246&amp;" vence el "&amp;TEXT(I246,"dd/mm/yyyy")&amp;". Deseas renovarla?"," ","%20"),"?","%3F")),"Enviar recordatorio"))</f>
        <v/>
      </c>
      <c r="T246" s="14" t="n"/>
    </row>
    <row r="247" ht="15" customHeight="1" s="28">
      <c r="A247" s="14" t="n"/>
      <c r="B247" s="14" t="n"/>
      <c r="C247" s="14" t="n"/>
      <c r="D247" s="14" t="n"/>
      <c r="E247" s="14" t="n"/>
      <c r="F247" s="14" t="n"/>
      <c r="G247" s="14" t="n"/>
      <c r="H247" s="15" t="n"/>
      <c r="I247" s="15" t="n"/>
      <c r="J247" s="14" t="n"/>
      <c r="K247" s="16">
        <f>IFERROR(VLOOKUP(A247,Precios!$A$5:$C$14,2,FALSE()),"")</f>
        <v/>
      </c>
      <c r="L247" s="16">
        <f>IFERROR(VLOOKUP(A247,Precios!$A$5:$C$14,3,FALSE()),"")</f>
        <v/>
      </c>
      <c r="M247" s="16">
        <f>IF(AND(K247&lt;&gt;"",L247&lt;&gt;""),L247-K247,"")</f>
        <v/>
      </c>
      <c r="N247" s="14">
        <f>IF(AND(H247&lt;&gt;"",I247&lt;&gt;""),I247-H247,"")</f>
        <v/>
      </c>
      <c r="O247" s="14">
        <f>IF(I247&lt;&gt;"",I247-TODAY(),"")</f>
        <v/>
      </c>
      <c r="P247" s="15">
        <f>IF(I247="","",IF(J247="Anual",I247+365,I247+30))</f>
        <v/>
      </c>
      <c r="Q247" s="14">
        <f>IF(I247="","",IF(O247&lt;0,"Vencida",IF(O247&lt;=3,"Por vencer","Activa")))</f>
        <v/>
      </c>
      <c r="R247" s="14" t="n"/>
      <c r="S247" s="14">
        <f>IF(OR(E247="",I247=""),"",HYPERLINK(IF(F247&lt;&gt;"","https://wa.me/"&amp;SUBSTITUTE(SUBSTITUTE(SUBSTITUTE(F247,"+",""),"-","")," ","")&amp;"?text="&amp;SUBSTITUTE(SUBSTITUTE("Hola "&amp;E247&amp;", tu cuenta de "&amp;A247&amp;" vence el "&amp;TEXT(I247,"dd/mm/yyyy")&amp;". Deseas renovarla?"," ","%20"),"?","%3F"),"https://api.whatsapp.com/send?text="&amp;SUBSTITUTE(SUBSTITUTE("Hola "&amp;E247&amp;", tu cuenta de "&amp;A247&amp;" vence el "&amp;TEXT(I247,"dd/mm/yyyy")&amp;". Deseas renovarla?"," ","%20"),"?","%3F")),"Enviar recordatorio"))</f>
        <v/>
      </c>
      <c r="T247" s="14" t="n"/>
    </row>
    <row r="248" ht="15" customHeight="1" s="28">
      <c r="A248" s="14" t="n"/>
      <c r="B248" s="14" t="n"/>
      <c r="C248" s="14" t="n"/>
      <c r="D248" s="14" t="n"/>
      <c r="E248" s="14" t="n"/>
      <c r="F248" s="14" t="n"/>
      <c r="G248" s="14" t="n"/>
      <c r="H248" s="15" t="n"/>
      <c r="I248" s="15" t="n"/>
      <c r="J248" s="14" t="n"/>
      <c r="K248" s="16">
        <f>IFERROR(VLOOKUP(A248,Precios!$A$5:$C$14,2,FALSE()),"")</f>
        <v/>
      </c>
      <c r="L248" s="16">
        <f>IFERROR(VLOOKUP(A248,Precios!$A$5:$C$14,3,FALSE()),"")</f>
        <v/>
      </c>
      <c r="M248" s="16">
        <f>IF(AND(K248&lt;&gt;"",L248&lt;&gt;""),L248-K248,"")</f>
        <v/>
      </c>
      <c r="N248" s="14">
        <f>IF(AND(H248&lt;&gt;"",I248&lt;&gt;""),I248-H248,"")</f>
        <v/>
      </c>
      <c r="O248" s="14">
        <f>IF(I248&lt;&gt;"",I248-TODAY(),"")</f>
        <v/>
      </c>
      <c r="P248" s="15">
        <f>IF(I248="","",IF(J248="Anual",I248+365,I248+30))</f>
        <v/>
      </c>
      <c r="Q248" s="14">
        <f>IF(I248="","",IF(O248&lt;0,"Vencida",IF(O248&lt;=3,"Por vencer","Activa")))</f>
        <v/>
      </c>
      <c r="R248" s="14" t="n"/>
      <c r="S248" s="14">
        <f>IF(OR(E248="",I248=""),"",HYPERLINK(IF(F248&lt;&gt;"","https://wa.me/"&amp;SUBSTITUTE(SUBSTITUTE(SUBSTITUTE(F248,"+",""),"-","")," ","")&amp;"?text="&amp;SUBSTITUTE(SUBSTITUTE("Hola "&amp;E248&amp;", tu cuenta de "&amp;A248&amp;" vence el "&amp;TEXT(I248,"dd/mm/yyyy")&amp;". Deseas renovarla?"," ","%20"),"?","%3F"),"https://api.whatsapp.com/send?text="&amp;SUBSTITUTE(SUBSTITUTE("Hola "&amp;E248&amp;", tu cuenta de "&amp;A248&amp;" vence el "&amp;TEXT(I248,"dd/mm/yyyy")&amp;". Deseas renovarla?"," ","%20"),"?","%3F")),"Enviar recordatorio"))</f>
        <v/>
      </c>
      <c r="T248" s="14" t="n"/>
    </row>
    <row r="249" ht="15" customHeight="1" s="28">
      <c r="A249" s="14" t="n"/>
      <c r="B249" s="14" t="n"/>
      <c r="C249" s="14" t="n"/>
      <c r="D249" s="14" t="n"/>
      <c r="E249" s="14" t="n"/>
      <c r="F249" s="14" t="n"/>
      <c r="G249" s="14" t="n"/>
      <c r="H249" s="15" t="n"/>
      <c r="I249" s="15" t="n"/>
      <c r="J249" s="14" t="n"/>
      <c r="K249" s="16">
        <f>IFERROR(VLOOKUP(A249,Precios!$A$5:$C$14,2,FALSE()),"")</f>
        <v/>
      </c>
      <c r="L249" s="16">
        <f>IFERROR(VLOOKUP(A249,Precios!$A$5:$C$14,3,FALSE()),"")</f>
        <v/>
      </c>
      <c r="M249" s="16">
        <f>IF(AND(K249&lt;&gt;"",L249&lt;&gt;""),L249-K249,"")</f>
        <v/>
      </c>
      <c r="N249" s="14">
        <f>IF(AND(H249&lt;&gt;"",I249&lt;&gt;""),I249-H249,"")</f>
        <v/>
      </c>
      <c r="O249" s="14">
        <f>IF(I249&lt;&gt;"",I249-TODAY(),"")</f>
        <v/>
      </c>
      <c r="P249" s="15">
        <f>IF(I249="","",IF(J249="Anual",I249+365,I249+30))</f>
        <v/>
      </c>
      <c r="Q249" s="14">
        <f>IF(I249="","",IF(O249&lt;0,"Vencida",IF(O249&lt;=3,"Por vencer","Activa")))</f>
        <v/>
      </c>
      <c r="R249" s="14" t="n"/>
      <c r="S249" s="14">
        <f>IF(OR(E249="",I249=""),"",HYPERLINK(IF(F249&lt;&gt;"","https://wa.me/"&amp;SUBSTITUTE(SUBSTITUTE(SUBSTITUTE(F249,"+",""),"-","")," ","")&amp;"?text="&amp;SUBSTITUTE(SUBSTITUTE("Hola "&amp;E249&amp;", tu cuenta de "&amp;A249&amp;" vence el "&amp;TEXT(I249,"dd/mm/yyyy")&amp;". Deseas renovarla?"," ","%20"),"?","%3F"),"https://api.whatsapp.com/send?text="&amp;SUBSTITUTE(SUBSTITUTE("Hola "&amp;E249&amp;", tu cuenta de "&amp;A249&amp;" vence el "&amp;TEXT(I249,"dd/mm/yyyy")&amp;". Deseas renovarla?"," ","%20"),"?","%3F")),"Enviar recordatorio"))</f>
        <v/>
      </c>
      <c r="T249" s="14" t="n"/>
    </row>
    <row r="250" ht="15" customHeight="1" s="28">
      <c r="A250" s="14" t="n"/>
      <c r="B250" s="14" t="n"/>
      <c r="C250" s="14" t="n"/>
      <c r="D250" s="14" t="n"/>
      <c r="E250" s="14" t="n"/>
      <c r="F250" s="14" t="n"/>
      <c r="G250" s="14" t="n"/>
      <c r="H250" s="15" t="n"/>
      <c r="I250" s="15" t="n"/>
      <c r="J250" s="14" t="n"/>
      <c r="K250" s="16">
        <f>IFERROR(VLOOKUP(A250,Precios!$A$5:$C$14,2,FALSE()),"")</f>
        <v/>
      </c>
      <c r="L250" s="16">
        <f>IFERROR(VLOOKUP(A250,Precios!$A$5:$C$14,3,FALSE()),"")</f>
        <v/>
      </c>
      <c r="M250" s="16">
        <f>IF(AND(K250&lt;&gt;"",L250&lt;&gt;""),L250-K250,"")</f>
        <v/>
      </c>
      <c r="N250" s="14">
        <f>IF(AND(H250&lt;&gt;"",I250&lt;&gt;""),I250-H250,"")</f>
        <v/>
      </c>
      <c r="O250" s="14">
        <f>IF(I250&lt;&gt;"",I250-TODAY(),"")</f>
        <v/>
      </c>
      <c r="P250" s="15">
        <f>IF(I250="","",IF(J250="Anual",I250+365,I250+30))</f>
        <v/>
      </c>
      <c r="Q250" s="14">
        <f>IF(I250="","",IF(O250&lt;0,"Vencida",IF(O250&lt;=3,"Por vencer","Activa")))</f>
        <v/>
      </c>
      <c r="R250" s="14" t="n"/>
      <c r="S250" s="14">
        <f>IF(OR(E250="",I250=""),"",HYPERLINK(IF(F250&lt;&gt;"","https://wa.me/"&amp;SUBSTITUTE(SUBSTITUTE(SUBSTITUTE(F250,"+",""),"-","")," ","")&amp;"?text="&amp;SUBSTITUTE(SUBSTITUTE("Hola "&amp;E250&amp;", tu cuenta de "&amp;A250&amp;" vence el "&amp;TEXT(I250,"dd/mm/yyyy")&amp;". Deseas renovarla?"," ","%20"),"?","%3F"),"https://api.whatsapp.com/send?text="&amp;SUBSTITUTE(SUBSTITUTE("Hola "&amp;E250&amp;", tu cuenta de "&amp;A250&amp;" vence el "&amp;TEXT(I250,"dd/mm/yyyy")&amp;". Deseas renovarla?"," ","%20"),"?","%3F")),"Enviar recordatorio"))</f>
        <v/>
      </c>
      <c r="T250" s="14" t="n"/>
    </row>
    <row r="251" ht="15" customHeight="1" s="28">
      <c r="A251" s="14" t="n"/>
      <c r="B251" s="14" t="n"/>
      <c r="C251" s="14" t="n"/>
      <c r="D251" s="14" t="n"/>
      <c r="E251" s="14" t="n"/>
      <c r="F251" s="14" t="n"/>
      <c r="G251" s="14" t="n"/>
      <c r="H251" s="15" t="n"/>
      <c r="I251" s="15" t="n"/>
      <c r="J251" s="14" t="n"/>
      <c r="K251" s="16">
        <f>IFERROR(VLOOKUP(A251,Precios!$A$5:$C$14,2,FALSE()),"")</f>
        <v/>
      </c>
      <c r="L251" s="16">
        <f>IFERROR(VLOOKUP(A251,Precios!$A$5:$C$14,3,FALSE()),"")</f>
        <v/>
      </c>
      <c r="M251" s="16">
        <f>IF(AND(K251&lt;&gt;"",L251&lt;&gt;""),L251-K251,"")</f>
        <v/>
      </c>
      <c r="N251" s="14">
        <f>IF(AND(H251&lt;&gt;"",I251&lt;&gt;""),I251-H251,"")</f>
        <v/>
      </c>
      <c r="O251" s="14">
        <f>IF(I251&lt;&gt;"",I251-TODAY(),"")</f>
        <v/>
      </c>
      <c r="P251" s="15">
        <f>IF(I251="","",IF(J251="Anual",I251+365,I251+30))</f>
        <v/>
      </c>
      <c r="Q251" s="14">
        <f>IF(I251="","",IF(O251&lt;0,"Vencida",IF(O251&lt;=3,"Por vencer","Activa")))</f>
        <v/>
      </c>
      <c r="R251" s="14" t="n"/>
      <c r="S251" s="14">
        <f>IF(OR(E251="",I251=""),"",HYPERLINK(IF(F251&lt;&gt;"","https://wa.me/"&amp;SUBSTITUTE(SUBSTITUTE(SUBSTITUTE(F251,"+",""),"-","")," ","")&amp;"?text="&amp;SUBSTITUTE(SUBSTITUTE("Hola "&amp;E251&amp;", tu cuenta de "&amp;A251&amp;" vence el "&amp;TEXT(I251,"dd/mm/yyyy")&amp;". Deseas renovarla?"," ","%20"),"?","%3F"),"https://api.whatsapp.com/send?text="&amp;SUBSTITUTE(SUBSTITUTE("Hola "&amp;E251&amp;", tu cuenta de "&amp;A251&amp;" vence el "&amp;TEXT(I251,"dd/mm/yyyy")&amp;". Deseas renovarla?"," ","%20"),"?","%3F")),"Enviar recordatorio"))</f>
        <v/>
      </c>
      <c r="T251" s="14" t="n"/>
    </row>
    <row r="252" ht="15" customHeight="1" s="28">
      <c r="A252" s="14" t="n"/>
      <c r="B252" s="14" t="n"/>
      <c r="C252" s="14" t="n"/>
      <c r="D252" s="14" t="n"/>
      <c r="E252" s="14" t="n"/>
      <c r="F252" s="14" t="n"/>
      <c r="G252" s="14" t="n"/>
      <c r="H252" s="15" t="n"/>
      <c r="I252" s="15" t="n"/>
      <c r="J252" s="14" t="n"/>
      <c r="K252" s="16">
        <f>IFERROR(VLOOKUP(A252,Precios!$A$5:$C$14,2,FALSE()),"")</f>
        <v/>
      </c>
      <c r="L252" s="16">
        <f>IFERROR(VLOOKUP(A252,Precios!$A$5:$C$14,3,FALSE()),"")</f>
        <v/>
      </c>
      <c r="M252" s="16">
        <f>IF(AND(K252&lt;&gt;"",L252&lt;&gt;""),L252-K252,"")</f>
        <v/>
      </c>
      <c r="N252" s="14">
        <f>IF(AND(H252&lt;&gt;"",I252&lt;&gt;""),I252-H252,"")</f>
        <v/>
      </c>
      <c r="O252" s="14">
        <f>IF(I252&lt;&gt;"",I252-TODAY(),"")</f>
        <v/>
      </c>
      <c r="P252" s="15">
        <f>IF(I252="","",IF(J252="Anual",I252+365,I252+30))</f>
        <v/>
      </c>
      <c r="Q252" s="14">
        <f>IF(I252="","",IF(O252&lt;0,"Vencida",IF(O252&lt;=3,"Por vencer","Activa")))</f>
        <v/>
      </c>
      <c r="R252" s="14" t="n"/>
      <c r="S252" s="14">
        <f>IF(OR(E252="",I252=""),"",HYPERLINK(IF(F252&lt;&gt;"","https://wa.me/"&amp;SUBSTITUTE(SUBSTITUTE(SUBSTITUTE(F252,"+",""),"-","")," ","")&amp;"?text="&amp;SUBSTITUTE(SUBSTITUTE("Hola "&amp;E252&amp;", tu cuenta de "&amp;A252&amp;" vence el "&amp;TEXT(I252,"dd/mm/yyyy")&amp;". Deseas renovarla?"," ","%20"),"?","%3F"),"https://api.whatsapp.com/send?text="&amp;SUBSTITUTE(SUBSTITUTE("Hola "&amp;E252&amp;", tu cuenta de "&amp;A252&amp;" vence el "&amp;TEXT(I252,"dd/mm/yyyy")&amp;". Deseas renovarla?"," ","%20"),"?","%3F")),"Enviar recordatorio"))</f>
        <v/>
      </c>
      <c r="T252" s="14" t="n"/>
    </row>
    <row r="253" ht="15" customHeight="1" s="28">
      <c r="A253" s="14" t="n"/>
      <c r="B253" s="14" t="n"/>
      <c r="C253" s="14" t="n"/>
      <c r="D253" s="14" t="n"/>
      <c r="E253" s="14" t="n"/>
      <c r="F253" s="14" t="n"/>
      <c r="G253" s="14" t="n"/>
      <c r="H253" s="15" t="n"/>
      <c r="I253" s="15" t="n"/>
      <c r="J253" s="14" t="n"/>
      <c r="K253" s="16">
        <f>IFERROR(VLOOKUP(A253,Precios!$A$5:$C$14,2,FALSE()),"")</f>
        <v/>
      </c>
      <c r="L253" s="16">
        <f>IFERROR(VLOOKUP(A253,Precios!$A$5:$C$14,3,FALSE()),"")</f>
        <v/>
      </c>
      <c r="M253" s="16">
        <f>IF(AND(K253&lt;&gt;"",L253&lt;&gt;""),L253-K253,"")</f>
        <v/>
      </c>
      <c r="N253" s="14">
        <f>IF(AND(H253&lt;&gt;"",I253&lt;&gt;""),I253-H253,"")</f>
        <v/>
      </c>
      <c r="O253" s="14">
        <f>IF(I253&lt;&gt;"",I253-TODAY(),"")</f>
        <v/>
      </c>
      <c r="P253" s="15">
        <f>IF(I253="","",IF(J253="Anual",I253+365,I253+30))</f>
        <v/>
      </c>
      <c r="Q253" s="14">
        <f>IF(I253="","",IF(O253&lt;0,"Vencida",IF(O253&lt;=3,"Por vencer","Activa")))</f>
        <v/>
      </c>
      <c r="R253" s="14" t="n"/>
      <c r="S253" s="14">
        <f>IF(OR(E253="",I253=""),"",HYPERLINK(IF(F253&lt;&gt;"","https://wa.me/"&amp;SUBSTITUTE(SUBSTITUTE(SUBSTITUTE(F253,"+",""),"-","")," ","")&amp;"?text="&amp;SUBSTITUTE(SUBSTITUTE("Hola "&amp;E253&amp;", tu cuenta de "&amp;A253&amp;" vence el "&amp;TEXT(I253,"dd/mm/yyyy")&amp;". Deseas renovarla?"," ","%20"),"?","%3F"),"https://api.whatsapp.com/send?text="&amp;SUBSTITUTE(SUBSTITUTE("Hola "&amp;E253&amp;", tu cuenta de "&amp;A253&amp;" vence el "&amp;TEXT(I253,"dd/mm/yyyy")&amp;". Deseas renovarla?"," ","%20"),"?","%3F")),"Enviar recordatorio"))</f>
        <v/>
      </c>
      <c r="T253" s="14" t="n"/>
    </row>
    <row r="254" ht="15" customHeight="1" s="28">
      <c r="A254" s="14" t="n"/>
      <c r="B254" s="14" t="n"/>
      <c r="C254" s="14" t="n"/>
      <c r="D254" s="14" t="n"/>
      <c r="E254" s="14" t="n"/>
      <c r="F254" s="14" t="n"/>
      <c r="G254" s="14" t="n"/>
      <c r="H254" s="15" t="n"/>
      <c r="I254" s="15" t="n"/>
      <c r="J254" s="14" t="n"/>
      <c r="K254" s="16">
        <f>IFERROR(VLOOKUP(A254,Precios!$A$5:$C$14,2,FALSE()),"")</f>
        <v/>
      </c>
      <c r="L254" s="16">
        <f>IFERROR(VLOOKUP(A254,Precios!$A$5:$C$14,3,FALSE()),"")</f>
        <v/>
      </c>
      <c r="M254" s="16">
        <f>IF(AND(K254&lt;&gt;"",L254&lt;&gt;""),L254-K254,"")</f>
        <v/>
      </c>
      <c r="N254" s="14">
        <f>IF(AND(H254&lt;&gt;"",I254&lt;&gt;""),I254-H254,"")</f>
        <v/>
      </c>
      <c r="O254" s="14">
        <f>IF(I254&lt;&gt;"",I254-TODAY(),"")</f>
        <v/>
      </c>
      <c r="P254" s="15">
        <f>IF(I254="","",IF(J254="Anual",I254+365,I254+30))</f>
        <v/>
      </c>
      <c r="Q254" s="14">
        <f>IF(I254="","",IF(O254&lt;0,"Vencida",IF(O254&lt;=3,"Por vencer","Activa")))</f>
        <v/>
      </c>
      <c r="R254" s="14" t="n"/>
      <c r="S254" s="14">
        <f>IF(OR(E254="",I254=""),"",HYPERLINK(IF(F254&lt;&gt;"","https://wa.me/"&amp;SUBSTITUTE(SUBSTITUTE(SUBSTITUTE(F254,"+",""),"-","")," ","")&amp;"?text="&amp;SUBSTITUTE(SUBSTITUTE("Hola "&amp;E254&amp;", tu cuenta de "&amp;A254&amp;" vence el "&amp;TEXT(I254,"dd/mm/yyyy")&amp;". Deseas renovarla?"," ","%20"),"?","%3F"),"https://api.whatsapp.com/send?text="&amp;SUBSTITUTE(SUBSTITUTE("Hola "&amp;E254&amp;", tu cuenta de "&amp;A254&amp;" vence el "&amp;TEXT(I254,"dd/mm/yyyy")&amp;". Deseas renovarla?"," ","%20"),"?","%3F")),"Enviar recordatorio"))</f>
        <v/>
      </c>
      <c r="T254" s="14" t="n"/>
    </row>
    <row r="255" ht="15" customHeight="1" s="28">
      <c r="A255" s="14" t="n"/>
      <c r="B255" s="14" t="n"/>
      <c r="C255" s="14" t="n"/>
      <c r="D255" s="14" t="n"/>
      <c r="E255" s="14" t="n"/>
      <c r="F255" s="14" t="n"/>
      <c r="G255" s="14" t="n"/>
      <c r="H255" s="15" t="n"/>
      <c r="I255" s="15" t="n"/>
      <c r="J255" s="14" t="n"/>
      <c r="K255" s="16">
        <f>IFERROR(VLOOKUP(A255,Precios!$A$5:$C$14,2,FALSE()),"")</f>
        <v/>
      </c>
      <c r="L255" s="16">
        <f>IFERROR(VLOOKUP(A255,Precios!$A$5:$C$14,3,FALSE()),"")</f>
        <v/>
      </c>
      <c r="M255" s="16">
        <f>IF(AND(K255&lt;&gt;"",L255&lt;&gt;""),L255-K255,"")</f>
        <v/>
      </c>
      <c r="N255" s="14">
        <f>IF(AND(H255&lt;&gt;"",I255&lt;&gt;""),I255-H255,"")</f>
        <v/>
      </c>
      <c r="O255" s="14">
        <f>IF(I255&lt;&gt;"",I255-TODAY(),"")</f>
        <v/>
      </c>
      <c r="P255" s="15">
        <f>IF(I255="","",IF(J255="Anual",I255+365,I255+30))</f>
        <v/>
      </c>
      <c r="Q255" s="14">
        <f>IF(I255="","",IF(O255&lt;0,"Vencida",IF(O255&lt;=3,"Por vencer","Activa")))</f>
        <v/>
      </c>
      <c r="R255" s="14" t="n"/>
      <c r="S255" s="14">
        <f>IF(OR(E255="",I255=""),"",HYPERLINK(IF(F255&lt;&gt;"","https://wa.me/"&amp;SUBSTITUTE(SUBSTITUTE(SUBSTITUTE(F255,"+",""),"-","")," ","")&amp;"?text="&amp;SUBSTITUTE(SUBSTITUTE("Hola "&amp;E255&amp;", tu cuenta de "&amp;A255&amp;" vence el "&amp;TEXT(I255,"dd/mm/yyyy")&amp;". Deseas renovarla?"," ","%20"),"?","%3F"),"https://api.whatsapp.com/send?text="&amp;SUBSTITUTE(SUBSTITUTE("Hola "&amp;E255&amp;", tu cuenta de "&amp;A255&amp;" vence el "&amp;TEXT(I255,"dd/mm/yyyy")&amp;". Deseas renovarla?"," ","%20"),"?","%3F")),"Enviar recordatorio"))</f>
        <v/>
      </c>
      <c r="T255" s="14" t="n"/>
    </row>
    <row r="256" ht="15" customHeight="1" s="28">
      <c r="A256" s="14" t="n"/>
      <c r="B256" s="14" t="n"/>
      <c r="C256" s="14" t="n"/>
      <c r="D256" s="14" t="n"/>
      <c r="E256" s="14" t="n"/>
      <c r="F256" s="14" t="n"/>
      <c r="G256" s="14" t="n"/>
      <c r="H256" s="15" t="n"/>
      <c r="I256" s="15" t="n"/>
      <c r="J256" s="14" t="n"/>
      <c r="K256" s="16">
        <f>IFERROR(VLOOKUP(A256,Precios!$A$5:$C$14,2,FALSE()),"")</f>
        <v/>
      </c>
      <c r="L256" s="16">
        <f>IFERROR(VLOOKUP(A256,Precios!$A$5:$C$14,3,FALSE()),"")</f>
        <v/>
      </c>
      <c r="M256" s="16">
        <f>IF(AND(K256&lt;&gt;"",L256&lt;&gt;""),L256-K256,"")</f>
        <v/>
      </c>
      <c r="N256" s="14">
        <f>IF(AND(H256&lt;&gt;"",I256&lt;&gt;""),I256-H256,"")</f>
        <v/>
      </c>
      <c r="O256" s="14">
        <f>IF(I256&lt;&gt;"",I256-TODAY(),"")</f>
        <v/>
      </c>
      <c r="P256" s="15">
        <f>IF(I256="","",IF(J256="Anual",I256+365,I256+30))</f>
        <v/>
      </c>
      <c r="Q256" s="14">
        <f>IF(I256="","",IF(O256&lt;0,"Vencida",IF(O256&lt;=3,"Por vencer","Activa")))</f>
        <v/>
      </c>
      <c r="R256" s="14" t="n"/>
      <c r="S256" s="14">
        <f>IF(OR(E256="",I256=""),"",HYPERLINK(IF(F256&lt;&gt;"","https://wa.me/"&amp;SUBSTITUTE(SUBSTITUTE(SUBSTITUTE(F256,"+",""),"-","")," ","")&amp;"?text="&amp;SUBSTITUTE(SUBSTITUTE("Hola "&amp;E256&amp;", tu cuenta de "&amp;A256&amp;" vence el "&amp;TEXT(I256,"dd/mm/yyyy")&amp;". Deseas renovarla?"," ","%20"),"?","%3F"),"https://api.whatsapp.com/send?text="&amp;SUBSTITUTE(SUBSTITUTE("Hola "&amp;E256&amp;", tu cuenta de "&amp;A256&amp;" vence el "&amp;TEXT(I256,"dd/mm/yyyy")&amp;". Deseas renovarla?"," ","%20"),"?","%3F")),"Enviar recordatorio"))</f>
        <v/>
      </c>
      <c r="T256" s="14" t="n"/>
    </row>
    <row r="257" ht="15" customHeight="1" s="28">
      <c r="A257" s="14" t="n"/>
      <c r="B257" s="14" t="n"/>
      <c r="C257" s="14" t="n"/>
      <c r="D257" s="14" t="n"/>
      <c r="E257" s="14" t="n"/>
      <c r="F257" s="14" t="n"/>
      <c r="G257" s="14" t="n"/>
      <c r="H257" s="15" t="n"/>
      <c r="I257" s="15" t="n"/>
      <c r="J257" s="14" t="n"/>
      <c r="K257" s="16">
        <f>IFERROR(VLOOKUP(A257,Precios!$A$5:$C$14,2,FALSE()),"")</f>
        <v/>
      </c>
      <c r="L257" s="16">
        <f>IFERROR(VLOOKUP(A257,Precios!$A$5:$C$14,3,FALSE()),"")</f>
        <v/>
      </c>
      <c r="M257" s="16">
        <f>IF(AND(K257&lt;&gt;"",L257&lt;&gt;""),L257-K257,"")</f>
        <v/>
      </c>
      <c r="N257" s="14">
        <f>IF(AND(H257&lt;&gt;"",I257&lt;&gt;""),I257-H257,"")</f>
        <v/>
      </c>
      <c r="O257" s="14">
        <f>IF(I257&lt;&gt;"",I257-TODAY(),"")</f>
        <v/>
      </c>
      <c r="P257" s="15">
        <f>IF(I257="","",IF(J257="Anual",I257+365,I257+30))</f>
        <v/>
      </c>
      <c r="Q257" s="14">
        <f>IF(I257="","",IF(O257&lt;0,"Vencida",IF(O257&lt;=3,"Por vencer","Activa")))</f>
        <v/>
      </c>
      <c r="R257" s="14" t="n"/>
      <c r="S257" s="14">
        <f>IF(OR(E257="",I257=""),"",HYPERLINK(IF(F257&lt;&gt;"","https://wa.me/"&amp;SUBSTITUTE(SUBSTITUTE(SUBSTITUTE(F257,"+",""),"-","")," ","")&amp;"?text="&amp;SUBSTITUTE(SUBSTITUTE("Hola "&amp;E257&amp;", tu cuenta de "&amp;A257&amp;" vence el "&amp;TEXT(I257,"dd/mm/yyyy")&amp;". Deseas renovarla?"," ","%20"),"?","%3F"),"https://api.whatsapp.com/send?text="&amp;SUBSTITUTE(SUBSTITUTE("Hola "&amp;E257&amp;", tu cuenta de "&amp;A257&amp;" vence el "&amp;TEXT(I257,"dd/mm/yyyy")&amp;". Deseas renovarla?"," ","%20"),"?","%3F")),"Enviar recordatorio"))</f>
        <v/>
      </c>
      <c r="T257" s="14" t="n"/>
    </row>
    <row r="258" ht="15" customHeight="1" s="28">
      <c r="A258" s="14" t="n"/>
      <c r="B258" s="14" t="n"/>
      <c r="C258" s="14" t="n"/>
      <c r="D258" s="14" t="n"/>
      <c r="E258" s="14" t="n"/>
      <c r="F258" s="14" t="n"/>
      <c r="G258" s="14" t="n"/>
      <c r="H258" s="15" t="n"/>
      <c r="I258" s="15" t="n"/>
      <c r="J258" s="14" t="n"/>
      <c r="K258" s="16">
        <f>IFERROR(VLOOKUP(A258,Precios!$A$5:$C$14,2,FALSE()),"")</f>
        <v/>
      </c>
      <c r="L258" s="16">
        <f>IFERROR(VLOOKUP(A258,Precios!$A$5:$C$14,3,FALSE()),"")</f>
        <v/>
      </c>
      <c r="M258" s="16">
        <f>IF(AND(K258&lt;&gt;"",L258&lt;&gt;""),L258-K258,"")</f>
        <v/>
      </c>
      <c r="N258" s="14">
        <f>IF(AND(H258&lt;&gt;"",I258&lt;&gt;""),I258-H258,"")</f>
        <v/>
      </c>
      <c r="O258" s="14">
        <f>IF(I258&lt;&gt;"",I258-TODAY(),"")</f>
        <v/>
      </c>
      <c r="P258" s="15">
        <f>IF(I258="","",IF(J258="Anual",I258+365,I258+30))</f>
        <v/>
      </c>
      <c r="Q258" s="14">
        <f>IF(I258="","",IF(O258&lt;0,"Vencida",IF(O258&lt;=3,"Por vencer","Activa")))</f>
        <v/>
      </c>
      <c r="R258" s="14" t="n"/>
      <c r="S258" s="14">
        <f>IF(OR(E258="",I258=""),"",HYPERLINK(IF(F258&lt;&gt;"","https://wa.me/"&amp;SUBSTITUTE(SUBSTITUTE(SUBSTITUTE(F258,"+",""),"-","")," ","")&amp;"?text="&amp;SUBSTITUTE(SUBSTITUTE("Hola "&amp;E258&amp;", tu cuenta de "&amp;A258&amp;" vence el "&amp;TEXT(I258,"dd/mm/yyyy")&amp;". Deseas renovarla?"," ","%20"),"?","%3F"),"https://api.whatsapp.com/send?text="&amp;SUBSTITUTE(SUBSTITUTE("Hola "&amp;E258&amp;", tu cuenta de "&amp;A258&amp;" vence el "&amp;TEXT(I258,"dd/mm/yyyy")&amp;". Deseas renovarla?"," ","%20"),"?","%3F")),"Enviar recordatorio"))</f>
        <v/>
      </c>
      <c r="T258" s="14" t="n"/>
    </row>
    <row r="259" ht="15" customHeight="1" s="28">
      <c r="A259" s="14" t="n"/>
      <c r="B259" s="14" t="n"/>
      <c r="C259" s="14" t="n"/>
      <c r="D259" s="14" t="n"/>
      <c r="E259" s="14" t="n"/>
      <c r="F259" s="14" t="n"/>
      <c r="G259" s="14" t="n"/>
      <c r="H259" s="15" t="n"/>
      <c r="I259" s="15" t="n"/>
      <c r="J259" s="14" t="n"/>
      <c r="K259" s="16">
        <f>IFERROR(VLOOKUP(A259,Precios!$A$5:$C$14,2,FALSE()),"")</f>
        <v/>
      </c>
      <c r="L259" s="16">
        <f>IFERROR(VLOOKUP(A259,Precios!$A$5:$C$14,3,FALSE()),"")</f>
        <v/>
      </c>
      <c r="M259" s="16">
        <f>IF(AND(K259&lt;&gt;"",L259&lt;&gt;""),L259-K259,"")</f>
        <v/>
      </c>
      <c r="N259" s="14">
        <f>IF(AND(H259&lt;&gt;"",I259&lt;&gt;""),I259-H259,"")</f>
        <v/>
      </c>
      <c r="O259" s="14">
        <f>IF(I259&lt;&gt;"",I259-TODAY(),"")</f>
        <v/>
      </c>
      <c r="P259" s="15">
        <f>IF(I259="","",IF(J259="Anual",I259+365,I259+30))</f>
        <v/>
      </c>
      <c r="Q259" s="14">
        <f>IF(I259="","",IF(O259&lt;0,"Vencida",IF(O259&lt;=3,"Por vencer","Activa")))</f>
        <v/>
      </c>
      <c r="R259" s="14" t="n"/>
      <c r="S259" s="14">
        <f>IF(OR(E259="",I259=""),"",HYPERLINK(IF(F259&lt;&gt;"","https://wa.me/"&amp;SUBSTITUTE(SUBSTITUTE(SUBSTITUTE(F259,"+",""),"-","")," ","")&amp;"?text="&amp;SUBSTITUTE(SUBSTITUTE("Hola "&amp;E259&amp;", tu cuenta de "&amp;A259&amp;" vence el "&amp;TEXT(I259,"dd/mm/yyyy")&amp;". Deseas renovarla?"," ","%20"),"?","%3F"),"https://api.whatsapp.com/send?text="&amp;SUBSTITUTE(SUBSTITUTE("Hola "&amp;E259&amp;", tu cuenta de "&amp;A259&amp;" vence el "&amp;TEXT(I259,"dd/mm/yyyy")&amp;". Deseas renovarla?"," ","%20"),"?","%3F")),"Enviar recordatorio"))</f>
        <v/>
      </c>
      <c r="T259" s="14" t="n"/>
    </row>
    <row r="260" ht="15" customHeight="1" s="28">
      <c r="A260" s="14" t="n"/>
      <c r="B260" s="14" t="n"/>
      <c r="C260" s="14" t="n"/>
      <c r="D260" s="14" t="n"/>
      <c r="E260" s="14" t="n"/>
      <c r="F260" s="14" t="n"/>
      <c r="G260" s="14" t="n"/>
      <c r="H260" s="15" t="n"/>
      <c r="I260" s="15" t="n"/>
      <c r="J260" s="14" t="n"/>
      <c r="K260" s="16">
        <f>IFERROR(VLOOKUP(A260,Precios!$A$5:$C$14,2,FALSE()),"")</f>
        <v/>
      </c>
      <c r="L260" s="16">
        <f>IFERROR(VLOOKUP(A260,Precios!$A$5:$C$14,3,FALSE()),"")</f>
        <v/>
      </c>
      <c r="M260" s="16">
        <f>IF(AND(K260&lt;&gt;"",L260&lt;&gt;""),L260-K260,"")</f>
        <v/>
      </c>
      <c r="N260" s="14">
        <f>IF(AND(H260&lt;&gt;"",I260&lt;&gt;""),I260-H260,"")</f>
        <v/>
      </c>
      <c r="O260" s="14">
        <f>IF(I260&lt;&gt;"",I260-TODAY(),"")</f>
        <v/>
      </c>
      <c r="P260" s="15">
        <f>IF(I260="","",IF(J260="Anual",I260+365,I260+30))</f>
        <v/>
      </c>
      <c r="Q260" s="14">
        <f>IF(I260="","",IF(O260&lt;0,"Vencida",IF(O260&lt;=3,"Por vencer","Activa")))</f>
        <v/>
      </c>
      <c r="R260" s="14" t="n"/>
      <c r="S260" s="14">
        <f>IF(OR(E260="",I260=""),"",HYPERLINK(IF(F260&lt;&gt;"","https://wa.me/"&amp;SUBSTITUTE(SUBSTITUTE(SUBSTITUTE(F260,"+",""),"-","")," ","")&amp;"?text="&amp;SUBSTITUTE(SUBSTITUTE("Hola "&amp;E260&amp;", tu cuenta de "&amp;A260&amp;" vence el "&amp;TEXT(I260,"dd/mm/yyyy")&amp;". Deseas renovarla?"," ","%20"),"?","%3F"),"https://api.whatsapp.com/send?text="&amp;SUBSTITUTE(SUBSTITUTE("Hola "&amp;E260&amp;", tu cuenta de "&amp;A260&amp;" vence el "&amp;TEXT(I260,"dd/mm/yyyy")&amp;". Deseas renovarla?"," ","%20"),"?","%3F")),"Enviar recordatorio"))</f>
        <v/>
      </c>
      <c r="T260" s="14" t="n"/>
    </row>
    <row r="261" ht="15" customHeight="1" s="28">
      <c r="A261" s="14" t="n"/>
      <c r="B261" s="14" t="n"/>
      <c r="C261" s="14" t="n"/>
      <c r="D261" s="14" t="n"/>
      <c r="E261" s="14" t="n"/>
      <c r="F261" s="14" t="n"/>
      <c r="G261" s="14" t="n"/>
      <c r="H261" s="15" t="n"/>
      <c r="I261" s="15" t="n"/>
      <c r="J261" s="14" t="n"/>
      <c r="K261" s="16">
        <f>IFERROR(VLOOKUP(A261,Precios!$A$5:$C$14,2,FALSE()),"")</f>
        <v/>
      </c>
      <c r="L261" s="16">
        <f>IFERROR(VLOOKUP(A261,Precios!$A$5:$C$14,3,FALSE()),"")</f>
        <v/>
      </c>
      <c r="M261" s="16">
        <f>IF(AND(K261&lt;&gt;"",L261&lt;&gt;""),L261-K261,"")</f>
        <v/>
      </c>
      <c r="N261" s="14">
        <f>IF(AND(H261&lt;&gt;"",I261&lt;&gt;""),I261-H261,"")</f>
        <v/>
      </c>
      <c r="O261" s="14">
        <f>IF(I261&lt;&gt;"",I261-TODAY(),"")</f>
        <v/>
      </c>
      <c r="P261" s="15">
        <f>IF(I261="","",IF(J261="Anual",I261+365,I261+30))</f>
        <v/>
      </c>
      <c r="Q261" s="14">
        <f>IF(I261="","",IF(O261&lt;0,"Vencida",IF(O261&lt;=3,"Por vencer","Activa")))</f>
        <v/>
      </c>
      <c r="R261" s="14" t="n"/>
      <c r="S261" s="14">
        <f>IF(OR(E261="",I261=""),"",HYPERLINK(IF(F261&lt;&gt;"","https://wa.me/"&amp;SUBSTITUTE(SUBSTITUTE(SUBSTITUTE(F261,"+",""),"-","")," ","")&amp;"?text="&amp;SUBSTITUTE(SUBSTITUTE("Hola "&amp;E261&amp;", tu cuenta de "&amp;A261&amp;" vence el "&amp;TEXT(I261,"dd/mm/yyyy")&amp;". Deseas renovarla?"," ","%20"),"?","%3F"),"https://api.whatsapp.com/send?text="&amp;SUBSTITUTE(SUBSTITUTE("Hola "&amp;E261&amp;", tu cuenta de "&amp;A261&amp;" vence el "&amp;TEXT(I261,"dd/mm/yyyy")&amp;". Deseas renovarla?"," ","%20"),"?","%3F")),"Enviar recordatorio"))</f>
        <v/>
      </c>
      <c r="T261" s="14" t="n"/>
    </row>
    <row r="262" ht="15" customHeight="1" s="28">
      <c r="A262" s="14" t="n"/>
      <c r="B262" s="14" t="n"/>
      <c r="C262" s="14" t="n"/>
      <c r="D262" s="14" t="n"/>
      <c r="E262" s="14" t="n"/>
      <c r="F262" s="14" t="n"/>
      <c r="G262" s="14" t="n"/>
      <c r="H262" s="15" t="n"/>
      <c r="I262" s="15" t="n"/>
      <c r="J262" s="14" t="n"/>
      <c r="K262" s="16">
        <f>IFERROR(VLOOKUP(A262,Precios!$A$5:$C$14,2,FALSE()),"")</f>
        <v/>
      </c>
      <c r="L262" s="16">
        <f>IFERROR(VLOOKUP(A262,Precios!$A$5:$C$14,3,FALSE()),"")</f>
        <v/>
      </c>
      <c r="M262" s="16">
        <f>IF(AND(K262&lt;&gt;"",L262&lt;&gt;""),L262-K262,"")</f>
        <v/>
      </c>
      <c r="N262" s="14">
        <f>IF(AND(H262&lt;&gt;"",I262&lt;&gt;""),I262-H262,"")</f>
        <v/>
      </c>
      <c r="O262" s="14">
        <f>IF(I262&lt;&gt;"",I262-TODAY(),"")</f>
        <v/>
      </c>
      <c r="P262" s="15">
        <f>IF(I262="","",IF(J262="Anual",I262+365,I262+30))</f>
        <v/>
      </c>
      <c r="Q262" s="14">
        <f>IF(I262="","",IF(O262&lt;0,"Vencida",IF(O262&lt;=3,"Por vencer","Activa")))</f>
        <v/>
      </c>
      <c r="R262" s="14" t="n"/>
      <c r="S262" s="14">
        <f>IF(OR(E262="",I262=""),"",HYPERLINK(IF(F262&lt;&gt;"","https://wa.me/"&amp;SUBSTITUTE(SUBSTITUTE(SUBSTITUTE(F262,"+",""),"-","")," ","")&amp;"?text="&amp;SUBSTITUTE(SUBSTITUTE("Hola "&amp;E262&amp;", tu cuenta de "&amp;A262&amp;" vence el "&amp;TEXT(I262,"dd/mm/yyyy")&amp;". Deseas renovarla?"," ","%20"),"?","%3F"),"https://api.whatsapp.com/send?text="&amp;SUBSTITUTE(SUBSTITUTE("Hola "&amp;E262&amp;", tu cuenta de "&amp;A262&amp;" vence el "&amp;TEXT(I262,"dd/mm/yyyy")&amp;". Deseas renovarla?"," ","%20"),"?","%3F")),"Enviar recordatorio"))</f>
        <v/>
      </c>
      <c r="T262" s="14" t="n"/>
    </row>
    <row r="263" ht="15" customHeight="1" s="28">
      <c r="A263" s="14" t="n"/>
      <c r="B263" s="14" t="n"/>
      <c r="C263" s="14" t="n"/>
      <c r="D263" s="14" t="n"/>
      <c r="E263" s="14" t="n"/>
      <c r="F263" s="14" t="n"/>
      <c r="G263" s="14" t="n"/>
      <c r="H263" s="15" t="n"/>
      <c r="I263" s="15" t="n"/>
      <c r="J263" s="14" t="n"/>
      <c r="K263" s="16">
        <f>IFERROR(VLOOKUP(A263,Precios!$A$5:$C$14,2,FALSE()),"")</f>
        <v/>
      </c>
      <c r="L263" s="16">
        <f>IFERROR(VLOOKUP(A263,Precios!$A$5:$C$14,3,FALSE()),"")</f>
        <v/>
      </c>
      <c r="M263" s="16">
        <f>IF(AND(K263&lt;&gt;"",L263&lt;&gt;""),L263-K263,"")</f>
        <v/>
      </c>
      <c r="N263" s="14">
        <f>IF(AND(H263&lt;&gt;"",I263&lt;&gt;""),I263-H263,"")</f>
        <v/>
      </c>
      <c r="O263" s="14">
        <f>IF(I263&lt;&gt;"",I263-TODAY(),"")</f>
        <v/>
      </c>
      <c r="P263" s="15">
        <f>IF(I263="","",IF(J263="Anual",I263+365,I263+30))</f>
        <v/>
      </c>
      <c r="Q263" s="14">
        <f>IF(I263="","",IF(O263&lt;0,"Vencida",IF(O263&lt;=3,"Por vencer","Activa")))</f>
        <v/>
      </c>
      <c r="R263" s="14" t="n"/>
      <c r="S263" s="14">
        <f>IF(OR(E263="",I263=""),"",HYPERLINK(IF(F263&lt;&gt;"","https://wa.me/"&amp;SUBSTITUTE(SUBSTITUTE(SUBSTITUTE(F263,"+",""),"-","")," ","")&amp;"?text="&amp;SUBSTITUTE(SUBSTITUTE("Hola "&amp;E263&amp;", tu cuenta de "&amp;A263&amp;" vence el "&amp;TEXT(I263,"dd/mm/yyyy")&amp;". Deseas renovarla?"," ","%20"),"?","%3F"),"https://api.whatsapp.com/send?text="&amp;SUBSTITUTE(SUBSTITUTE("Hola "&amp;E263&amp;", tu cuenta de "&amp;A263&amp;" vence el "&amp;TEXT(I263,"dd/mm/yyyy")&amp;". Deseas renovarla?"," ","%20"),"?","%3F")),"Enviar recordatorio"))</f>
        <v/>
      </c>
      <c r="T263" s="14" t="n"/>
    </row>
    <row r="264" ht="15" customHeight="1" s="28">
      <c r="A264" s="14" t="n"/>
      <c r="B264" s="14" t="n"/>
      <c r="C264" s="14" t="n"/>
      <c r="D264" s="14" t="n"/>
      <c r="E264" s="14" t="n"/>
      <c r="F264" s="14" t="n"/>
      <c r="G264" s="14" t="n"/>
      <c r="H264" s="15" t="n"/>
      <c r="I264" s="15" t="n"/>
      <c r="J264" s="14" t="n"/>
      <c r="K264" s="16">
        <f>IFERROR(VLOOKUP(A264,Precios!$A$5:$C$14,2,FALSE()),"")</f>
        <v/>
      </c>
      <c r="L264" s="16">
        <f>IFERROR(VLOOKUP(A264,Precios!$A$5:$C$14,3,FALSE()),"")</f>
        <v/>
      </c>
      <c r="M264" s="16">
        <f>IF(AND(K264&lt;&gt;"",L264&lt;&gt;""),L264-K264,"")</f>
        <v/>
      </c>
      <c r="N264" s="14">
        <f>IF(AND(H264&lt;&gt;"",I264&lt;&gt;""),I264-H264,"")</f>
        <v/>
      </c>
      <c r="O264" s="14">
        <f>IF(I264&lt;&gt;"",I264-TODAY(),"")</f>
        <v/>
      </c>
      <c r="P264" s="15">
        <f>IF(I264="","",IF(J264="Anual",I264+365,I264+30))</f>
        <v/>
      </c>
      <c r="Q264" s="14">
        <f>IF(I264="","",IF(O264&lt;0,"Vencida",IF(O264&lt;=3,"Por vencer","Activa")))</f>
        <v/>
      </c>
      <c r="R264" s="14" t="n"/>
      <c r="S264" s="14">
        <f>IF(OR(E264="",I264=""),"",HYPERLINK(IF(F264&lt;&gt;"","https://wa.me/"&amp;SUBSTITUTE(SUBSTITUTE(SUBSTITUTE(F264,"+",""),"-","")," ","")&amp;"?text="&amp;SUBSTITUTE(SUBSTITUTE("Hola "&amp;E264&amp;", tu cuenta de "&amp;A264&amp;" vence el "&amp;TEXT(I264,"dd/mm/yyyy")&amp;". Deseas renovarla?"," ","%20"),"?","%3F"),"https://api.whatsapp.com/send?text="&amp;SUBSTITUTE(SUBSTITUTE("Hola "&amp;E264&amp;", tu cuenta de "&amp;A264&amp;" vence el "&amp;TEXT(I264,"dd/mm/yyyy")&amp;". Deseas renovarla?"," ","%20"),"?","%3F")),"Enviar recordatorio"))</f>
        <v/>
      </c>
      <c r="T264" s="14" t="n"/>
    </row>
    <row r="265" ht="15" customHeight="1" s="28">
      <c r="A265" s="14" t="n"/>
      <c r="B265" s="14" t="n"/>
      <c r="C265" s="14" t="n"/>
      <c r="D265" s="14" t="n"/>
      <c r="E265" s="14" t="n"/>
      <c r="F265" s="14" t="n"/>
      <c r="G265" s="14" t="n"/>
      <c r="H265" s="15" t="n"/>
      <c r="I265" s="15" t="n"/>
      <c r="J265" s="14" t="n"/>
      <c r="K265" s="16">
        <f>IFERROR(VLOOKUP(A265,Precios!$A$5:$C$14,2,FALSE()),"")</f>
        <v/>
      </c>
      <c r="L265" s="16">
        <f>IFERROR(VLOOKUP(A265,Precios!$A$5:$C$14,3,FALSE()),"")</f>
        <v/>
      </c>
      <c r="M265" s="16">
        <f>IF(AND(K265&lt;&gt;"",L265&lt;&gt;""),L265-K265,"")</f>
        <v/>
      </c>
      <c r="N265" s="14">
        <f>IF(AND(H265&lt;&gt;"",I265&lt;&gt;""),I265-H265,"")</f>
        <v/>
      </c>
      <c r="O265" s="14">
        <f>IF(I265&lt;&gt;"",I265-TODAY(),"")</f>
        <v/>
      </c>
      <c r="P265" s="15">
        <f>IF(I265="","",IF(J265="Anual",I265+365,I265+30))</f>
        <v/>
      </c>
      <c r="Q265" s="14">
        <f>IF(I265="","",IF(O265&lt;0,"Vencida",IF(O265&lt;=3,"Por vencer","Activa")))</f>
        <v/>
      </c>
      <c r="R265" s="14" t="n"/>
      <c r="S265" s="14">
        <f>IF(OR(E265="",I265=""),"",HYPERLINK(IF(F265&lt;&gt;"","https://wa.me/"&amp;SUBSTITUTE(SUBSTITUTE(SUBSTITUTE(F265,"+",""),"-","")," ","")&amp;"?text="&amp;SUBSTITUTE(SUBSTITUTE("Hola "&amp;E265&amp;", tu cuenta de "&amp;A265&amp;" vence el "&amp;TEXT(I265,"dd/mm/yyyy")&amp;". Deseas renovarla?"," ","%20"),"?","%3F"),"https://api.whatsapp.com/send?text="&amp;SUBSTITUTE(SUBSTITUTE("Hola "&amp;E265&amp;", tu cuenta de "&amp;A265&amp;" vence el "&amp;TEXT(I265,"dd/mm/yyyy")&amp;". Deseas renovarla?"," ","%20"),"?","%3F")),"Enviar recordatorio"))</f>
        <v/>
      </c>
      <c r="T265" s="14" t="n"/>
    </row>
    <row r="266" ht="15" customHeight="1" s="28">
      <c r="A266" s="14" t="n"/>
      <c r="B266" s="14" t="n"/>
      <c r="C266" s="14" t="n"/>
      <c r="D266" s="14" t="n"/>
      <c r="E266" s="14" t="n"/>
      <c r="F266" s="14" t="n"/>
      <c r="G266" s="14" t="n"/>
      <c r="H266" s="15" t="n"/>
      <c r="I266" s="15" t="n"/>
      <c r="J266" s="14" t="n"/>
      <c r="K266" s="16">
        <f>IFERROR(VLOOKUP(A266,Precios!$A$5:$C$14,2,FALSE()),"")</f>
        <v/>
      </c>
      <c r="L266" s="16">
        <f>IFERROR(VLOOKUP(A266,Precios!$A$5:$C$14,3,FALSE()),"")</f>
        <v/>
      </c>
      <c r="M266" s="16">
        <f>IF(AND(K266&lt;&gt;"",L266&lt;&gt;""),L266-K266,"")</f>
        <v/>
      </c>
      <c r="N266" s="14">
        <f>IF(AND(H266&lt;&gt;"",I266&lt;&gt;""),I266-H266,"")</f>
        <v/>
      </c>
      <c r="O266" s="14">
        <f>IF(I266&lt;&gt;"",I266-TODAY(),"")</f>
        <v/>
      </c>
      <c r="P266" s="15">
        <f>IF(I266="","",IF(J266="Anual",I266+365,I266+30))</f>
        <v/>
      </c>
      <c r="Q266" s="14">
        <f>IF(I266="","",IF(O266&lt;0,"Vencida",IF(O266&lt;=3,"Por vencer","Activa")))</f>
        <v/>
      </c>
      <c r="R266" s="14" t="n"/>
      <c r="S266" s="14">
        <f>IF(OR(E266="",I266=""),"",HYPERLINK(IF(F266&lt;&gt;"","https://wa.me/"&amp;SUBSTITUTE(SUBSTITUTE(SUBSTITUTE(F266,"+",""),"-","")," ","")&amp;"?text="&amp;SUBSTITUTE(SUBSTITUTE("Hola "&amp;E266&amp;", tu cuenta de "&amp;A266&amp;" vence el "&amp;TEXT(I266,"dd/mm/yyyy")&amp;". Deseas renovarla?"," ","%20"),"?","%3F"),"https://api.whatsapp.com/send?text="&amp;SUBSTITUTE(SUBSTITUTE("Hola "&amp;E266&amp;", tu cuenta de "&amp;A266&amp;" vence el "&amp;TEXT(I266,"dd/mm/yyyy")&amp;". Deseas renovarla?"," ","%20"),"?","%3F")),"Enviar recordatorio"))</f>
        <v/>
      </c>
      <c r="T266" s="14" t="n"/>
    </row>
    <row r="267" ht="15" customHeight="1" s="28">
      <c r="A267" s="14" t="n"/>
      <c r="B267" s="14" t="n"/>
      <c r="C267" s="14" t="n"/>
      <c r="D267" s="14" t="n"/>
      <c r="E267" s="14" t="n"/>
      <c r="F267" s="14" t="n"/>
      <c r="G267" s="14" t="n"/>
      <c r="H267" s="15" t="n"/>
      <c r="I267" s="15" t="n"/>
      <c r="J267" s="14" t="n"/>
      <c r="K267" s="16">
        <f>IFERROR(VLOOKUP(A267,Precios!$A$5:$C$14,2,FALSE()),"")</f>
        <v/>
      </c>
      <c r="L267" s="16">
        <f>IFERROR(VLOOKUP(A267,Precios!$A$5:$C$14,3,FALSE()),"")</f>
        <v/>
      </c>
      <c r="M267" s="16">
        <f>IF(AND(K267&lt;&gt;"",L267&lt;&gt;""),L267-K267,"")</f>
        <v/>
      </c>
      <c r="N267" s="14">
        <f>IF(AND(H267&lt;&gt;"",I267&lt;&gt;""),I267-H267,"")</f>
        <v/>
      </c>
      <c r="O267" s="14">
        <f>IF(I267&lt;&gt;"",I267-TODAY(),"")</f>
        <v/>
      </c>
      <c r="P267" s="15">
        <f>IF(I267="","",IF(J267="Anual",I267+365,I267+30))</f>
        <v/>
      </c>
      <c r="Q267" s="14">
        <f>IF(I267="","",IF(O267&lt;0,"Vencida",IF(O267&lt;=3,"Por vencer","Activa")))</f>
        <v/>
      </c>
      <c r="R267" s="14" t="n"/>
      <c r="S267" s="14">
        <f>IF(OR(E267="",I267=""),"",HYPERLINK(IF(F267&lt;&gt;"","https://wa.me/"&amp;SUBSTITUTE(SUBSTITUTE(SUBSTITUTE(F267,"+",""),"-","")," ","")&amp;"?text="&amp;SUBSTITUTE(SUBSTITUTE("Hola "&amp;E267&amp;", tu cuenta de "&amp;A267&amp;" vence el "&amp;TEXT(I267,"dd/mm/yyyy")&amp;". Deseas renovarla?"," ","%20"),"?","%3F"),"https://api.whatsapp.com/send?text="&amp;SUBSTITUTE(SUBSTITUTE("Hola "&amp;E267&amp;", tu cuenta de "&amp;A267&amp;" vence el "&amp;TEXT(I267,"dd/mm/yyyy")&amp;". Deseas renovarla?"," ","%20"),"?","%3F")),"Enviar recordatorio"))</f>
        <v/>
      </c>
      <c r="T267" s="14" t="n"/>
    </row>
    <row r="268" ht="15" customHeight="1" s="28">
      <c r="A268" s="14" t="n"/>
      <c r="B268" s="14" t="n"/>
      <c r="C268" s="14" t="n"/>
      <c r="D268" s="14" t="n"/>
      <c r="E268" s="14" t="n"/>
      <c r="F268" s="14" t="n"/>
      <c r="G268" s="14" t="n"/>
      <c r="H268" s="15" t="n"/>
      <c r="I268" s="15" t="n"/>
      <c r="J268" s="14" t="n"/>
      <c r="K268" s="16">
        <f>IFERROR(VLOOKUP(A268,Precios!$A$5:$C$14,2,FALSE()),"")</f>
        <v/>
      </c>
      <c r="L268" s="16">
        <f>IFERROR(VLOOKUP(A268,Precios!$A$5:$C$14,3,FALSE()),"")</f>
        <v/>
      </c>
      <c r="M268" s="16">
        <f>IF(AND(K268&lt;&gt;"",L268&lt;&gt;""),L268-K268,"")</f>
        <v/>
      </c>
      <c r="N268" s="14">
        <f>IF(AND(H268&lt;&gt;"",I268&lt;&gt;""),I268-H268,"")</f>
        <v/>
      </c>
      <c r="O268" s="14">
        <f>IF(I268&lt;&gt;"",I268-TODAY(),"")</f>
        <v/>
      </c>
      <c r="P268" s="15">
        <f>IF(I268="","",IF(J268="Anual",I268+365,I268+30))</f>
        <v/>
      </c>
      <c r="Q268" s="14">
        <f>IF(I268="","",IF(O268&lt;0,"Vencida",IF(O268&lt;=3,"Por vencer","Activa")))</f>
        <v/>
      </c>
      <c r="R268" s="14" t="n"/>
      <c r="S268" s="14">
        <f>IF(OR(E268="",I268=""),"",HYPERLINK(IF(F268&lt;&gt;"","https://wa.me/"&amp;SUBSTITUTE(SUBSTITUTE(SUBSTITUTE(F268,"+",""),"-","")," ","")&amp;"?text="&amp;SUBSTITUTE(SUBSTITUTE("Hola "&amp;E268&amp;", tu cuenta de "&amp;A268&amp;" vence el "&amp;TEXT(I268,"dd/mm/yyyy")&amp;". Deseas renovarla?"," ","%20"),"?","%3F"),"https://api.whatsapp.com/send?text="&amp;SUBSTITUTE(SUBSTITUTE("Hola "&amp;E268&amp;", tu cuenta de "&amp;A268&amp;" vence el "&amp;TEXT(I268,"dd/mm/yyyy")&amp;". Deseas renovarla?"," ","%20"),"?","%3F")),"Enviar recordatorio"))</f>
        <v/>
      </c>
      <c r="T268" s="14" t="n"/>
    </row>
    <row r="269" ht="15" customHeight="1" s="28">
      <c r="A269" s="14" t="n"/>
      <c r="B269" s="14" t="n"/>
      <c r="C269" s="14" t="n"/>
      <c r="D269" s="14" t="n"/>
      <c r="E269" s="14" t="n"/>
      <c r="F269" s="14" t="n"/>
      <c r="G269" s="14" t="n"/>
      <c r="H269" s="15" t="n"/>
      <c r="I269" s="15" t="n"/>
      <c r="J269" s="14" t="n"/>
      <c r="K269" s="16">
        <f>IFERROR(VLOOKUP(A269,Precios!$A$5:$C$14,2,FALSE()),"")</f>
        <v/>
      </c>
      <c r="L269" s="16">
        <f>IFERROR(VLOOKUP(A269,Precios!$A$5:$C$14,3,FALSE()),"")</f>
        <v/>
      </c>
      <c r="M269" s="16">
        <f>IF(AND(K269&lt;&gt;"",L269&lt;&gt;""),L269-K269,"")</f>
        <v/>
      </c>
      <c r="N269" s="14">
        <f>IF(AND(H269&lt;&gt;"",I269&lt;&gt;""),I269-H269,"")</f>
        <v/>
      </c>
      <c r="O269" s="14">
        <f>IF(I269&lt;&gt;"",I269-TODAY(),"")</f>
        <v/>
      </c>
      <c r="P269" s="15">
        <f>IF(I269="","",IF(J269="Anual",I269+365,I269+30))</f>
        <v/>
      </c>
      <c r="Q269" s="14">
        <f>IF(I269="","",IF(O269&lt;0,"Vencida",IF(O269&lt;=3,"Por vencer","Activa")))</f>
        <v/>
      </c>
      <c r="R269" s="14" t="n"/>
      <c r="S269" s="14">
        <f>IF(OR(E269="",I269=""),"",HYPERLINK(IF(F269&lt;&gt;"","https://wa.me/"&amp;SUBSTITUTE(SUBSTITUTE(SUBSTITUTE(F269,"+",""),"-","")," ","")&amp;"?text="&amp;SUBSTITUTE(SUBSTITUTE("Hola "&amp;E269&amp;", tu cuenta de "&amp;A269&amp;" vence el "&amp;TEXT(I269,"dd/mm/yyyy")&amp;". Deseas renovarla?"," ","%20"),"?","%3F"),"https://api.whatsapp.com/send?text="&amp;SUBSTITUTE(SUBSTITUTE("Hola "&amp;E269&amp;", tu cuenta de "&amp;A269&amp;" vence el "&amp;TEXT(I269,"dd/mm/yyyy")&amp;". Deseas renovarla?"," ","%20"),"?","%3F")),"Enviar recordatorio"))</f>
        <v/>
      </c>
      <c r="T269" s="14" t="n"/>
    </row>
    <row r="270" ht="15" customHeight="1" s="28">
      <c r="A270" s="14" t="n"/>
      <c r="B270" s="14" t="n"/>
      <c r="C270" s="14" t="n"/>
      <c r="D270" s="14" t="n"/>
      <c r="E270" s="14" t="n"/>
      <c r="F270" s="14" t="n"/>
      <c r="G270" s="14" t="n"/>
      <c r="H270" s="15" t="n"/>
      <c r="I270" s="15" t="n"/>
      <c r="J270" s="14" t="n"/>
      <c r="K270" s="16">
        <f>IFERROR(VLOOKUP(A270,Precios!$A$5:$C$14,2,FALSE()),"")</f>
        <v/>
      </c>
      <c r="L270" s="16">
        <f>IFERROR(VLOOKUP(A270,Precios!$A$5:$C$14,3,FALSE()),"")</f>
        <v/>
      </c>
      <c r="M270" s="16">
        <f>IF(AND(K270&lt;&gt;"",L270&lt;&gt;""),L270-K270,"")</f>
        <v/>
      </c>
      <c r="N270" s="14">
        <f>IF(AND(H270&lt;&gt;"",I270&lt;&gt;""),I270-H270,"")</f>
        <v/>
      </c>
      <c r="O270" s="14">
        <f>IF(I270&lt;&gt;"",I270-TODAY(),"")</f>
        <v/>
      </c>
      <c r="P270" s="15">
        <f>IF(I270="","",IF(J270="Anual",I270+365,I270+30))</f>
        <v/>
      </c>
      <c r="Q270" s="14">
        <f>IF(I270="","",IF(O270&lt;0,"Vencida",IF(O270&lt;=3,"Por vencer","Activa")))</f>
        <v/>
      </c>
      <c r="R270" s="14" t="n"/>
      <c r="S270" s="14">
        <f>IF(OR(E270="",I270=""),"",HYPERLINK(IF(F270&lt;&gt;"","https://wa.me/"&amp;SUBSTITUTE(SUBSTITUTE(SUBSTITUTE(F270,"+",""),"-","")," ","")&amp;"?text="&amp;SUBSTITUTE(SUBSTITUTE("Hola "&amp;E270&amp;", tu cuenta de "&amp;A270&amp;" vence el "&amp;TEXT(I270,"dd/mm/yyyy")&amp;". Deseas renovarla?"," ","%20"),"?","%3F"),"https://api.whatsapp.com/send?text="&amp;SUBSTITUTE(SUBSTITUTE("Hola "&amp;E270&amp;", tu cuenta de "&amp;A270&amp;" vence el "&amp;TEXT(I270,"dd/mm/yyyy")&amp;". Deseas renovarla?"," ","%20"),"?","%3F")),"Enviar recordatorio"))</f>
        <v/>
      </c>
      <c r="T270" s="14" t="n"/>
    </row>
    <row r="271" ht="15" customHeight="1" s="28">
      <c r="A271" s="14" t="n"/>
      <c r="B271" s="14" t="n"/>
      <c r="C271" s="14" t="n"/>
      <c r="D271" s="14" t="n"/>
      <c r="E271" s="14" t="n"/>
      <c r="F271" s="14" t="n"/>
      <c r="G271" s="14" t="n"/>
      <c r="H271" s="15" t="n"/>
      <c r="I271" s="15" t="n"/>
      <c r="J271" s="14" t="n"/>
      <c r="K271" s="16">
        <f>IFERROR(VLOOKUP(A271,Precios!$A$5:$C$14,2,FALSE()),"")</f>
        <v/>
      </c>
      <c r="L271" s="16">
        <f>IFERROR(VLOOKUP(A271,Precios!$A$5:$C$14,3,FALSE()),"")</f>
        <v/>
      </c>
      <c r="M271" s="16">
        <f>IF(AND(K271&lt;&gt;"",L271&lt;&gt;""),L271-K271,"")</f>
        <v/>
      </c>
      <c r="N271" s="14">
        <f>IF(AND(H271&lt;&gt;"",I271&lt;&gt;""),I271-H271,"")</f>
        <v/>
      </c>
      <c r="O271" s="14">
        <f>IF(I271&lt;&gt;"",I271-TODAY(),"")</f>
        <v/>
      </c>
      <c r="P271" s="15">
        <f>IF(I271="","",IF(J271="Anual",I271+365,I271+30))</f>
        <v/>
      </c>
      <c r="Q271" s="14">
        <f>IF(I271="","",IF(O271&lt;0,"Vencida",IF(O271&lt;=3,"Por vencer","Activa")))</f>
        <v/>
      </c>
      <c r="R271" s="14" t="n"/>
      <c r="S271" s="14">
        <f>IF(OR(E271="",I271=""),"",HYPERLINK(IF(F271&lt;&gt;"","https://wa.me/"&amp;SUBSTITUTE(SUBSTITUTE(SUBSTITUTE(F271,"+",""),"-","")," ","")&amp;"?text="&amp;SUBSTITUTE(SUBSTITUTE("Hola "&amp;E271&amp;", tu cuenta de "&amp;A271&amp;" vence el "&amp;TEXT(I271,"dd/mm/yyyy")&amp;". Deseas renovarla?"," ","%20"),"?","%3F"),"https://api.whatsapp.com/send?text="&amp;SUBSTITUTE(SUBSTITUTE("Hola "&amp;E271&amp;", tu cuenta de "&amp;A271&amp;" vence el "&amp;TEXT(I271,"dd/mm/yyyy")&amp;". Deseas renovarla?"," ","%20"),"?","%3F")),"Enviar recordatorio"))</f>
        <v/>
      </c>
      <c r="T271" s="14" t="n"/>
    </row>
    <row r="272" ht="15" customHeight="1" s="28">
      <c r="A272" s="14" t="n"/>
      <c r="B272" s="14" t="n"/>
      <c r="C272" s="14" t="n"/>
      <c r="D272" s="14" t="n"/>
      <c r="E272" s="14" t="n"/>
      <c r="F272" s="14" t="n"/>
      <c r="G272" s="14" t="n"/>
      <c r="H272" s="15" t="n"/>
      <c r="I272" s="15" t="n"/>
      <c r="J272" s="14" t="n"/>
      <c r="K272" s="16">
        <f>IFERROR(VLOOKUP(A272,Precios!$A$5:$C$14,2,FALSE()),"")</f>
        <v/>
      </c>
      <c r="L272" s="16">
        <f>IFERROR(VLOOKUP(A272,Precios!$A$5:$C$14,3,FALSE()),"")</f>
        <v/>
      </c>
      <c r="M272" s="16">
        <f>IF(AND(K272&lt;&gt;"",L272&lt;&gt;""),L272-K272,"")</f>
        <v/>
      </c>
      <c r="N272" s="14">
        <f>IF(AND(H272&lt;&gt;"",I272&lt;&gt;""),I272-H272,"")</f>
        <v/>
      </c>
      <c r="O272" s="14">
        <f>IF(I272&lt;&gt;"",I272-TODAY(),"")</f>
        <v/>
      </c>
      <c r="P272" s="15">
        <f>IF(I272="","",IF(J272="Anual",I272+365,I272+30))</f>
        <v/>
      </c>
      <c r="Q272" s="14">
        <f>IF(I272="","",IF(O272&lt;0,"Vencida",IF(O272&lt;=3,"Por vencer","Activa")))</f>
        <v/>
      </c>
      <c r="R272" s="14" t="n"/>
      <c r="S272" s="14">
        <f>IF(OR(E272="",I272=""),"",HYPERLINK(IF(F272&lt;&gt;"","https://wa.me/"&amp;SUBSTITUTE(SUBSTITUTE(SUBSTITUTE(F272,"+",""),"-","")," ","")&amp;"?text="&amp;SUBSTITUTE(SUBSTITUTE("Hola "&amp;E272&amp;", tu cuenta de "&amp;A272&amp;" vence el "&amp;TEXT(I272,"dd/mm/yyyy")&amp;". Deseas renovarla?"," ","%20"),"?","%3F"),"https://api.whatsapp.com/send?text="&amp;SUBSTITUTE(SUBSTITUTE("Hola "&amp;E272&amp;", tu cuenta de "&amp;A272&amp;" vence el "&amp;TEXT(I272,"dd/mm/yyyy")&amp;". Deseas renovarla?"," ","%20"),"?","%3F")),"Enviar recordatorio"))</f>
        <v/>
      </c>
      <c r="T272" s="14" t="n"/>
    </row>
    <row r="273" ht="15" customHeight="1" s="28">
      <c r="A273" s="14" t="n"/>
      <c r="B273" s="14" t="n"/>
      <c r="C273" s="14" t="n"/>
      <c r="D273" s="14" t="n"/>
      <c r="E273" s="14" t="n"/>
      <c r="F273" s="14" t="n"/>
      <c r="G273" s="14" t="n"/>
      <c r="H273" s="15" t="n"/>
      <c r="I273" s="15" t="n"/>
      <c r="J273" s="14" t="n"/>
      <c r="K273" s="16">
        <f>IFERROR(VLOOKUP(A273,Precios!$A$5:$C$14,2,FALSE()),"")</f>
        <v/>
      </c>
      <c r="L273" s="16">
        <f>IFERROR(VLOOKUP(A273,Precios!$A$5:$C$14,3,FALSE()),"")</f>
        <v/>
      </c>
      <c r="M273" s="16">
        <f>IF(AND(K273&lt;&gt;"",L273&lt;&gt;""),L273-K273,"")</f>
        <v/>
      </c>
      <c r="N273" s="14">
        <f>IF(AND(H273&lt;&gt;"",I273&lt;&gt;""),I273-H273,"")</f>
        <v/>
      </c>
      <c r="O273" s="14">
        <f>IF(I273&lt;&gt;"",I273-TODAY(),"")</f>
        <v/>
      </c>
      <c r="P273" s="15">
        <f>IF(I273="","",IF(J273="Anual",I273+365,I273+30))</f>
        <v/>
      </c>
      <c r="Q273" s="14">
        <f>IF(I273="","",IF(O273&lt;0,"Vencida",IF(O273&lt;=3,"Por vencer","Activa")))</f>
        <v/>
      </c>
      <c r="R273" s="14" t="n"/>
      <c r="S273" s="14">
        <f>IF(OR(E273="",I273=""),"",HYPERLINK(IF(F273&lt;&gt;"","https://wa.me/"&amp;SUBSTITUTE(SUBSTITUTE(SUBSTITUTE(F273,"+",""),"-","")," ","")&amp;"?text="&amp;SUBSTITUTE(SUBSTITUTE("Hola "&amp;E273&amp;", tu cuenta de "&amp;A273&amp;" vence el "&amp;TEXT(I273,"dd/mm/yyyy")&amp;". Deseas renovarla?"," ","%20"),"?","%3F"),"https://api.whatsapp.com/send?text="&amp;SUBSTITUTE(SUBSTITUTE("Hola "&amp;E273&amp;", tu cuenta de "&amp;A273&amp;" vence el "&amp;TEXT(I273,"dd/mm/yyyy")&amp;". Deseas renovarla?"," ","%20"),"?","%3F")),"Enviar recordatorio"))</f>
        <v/>
      </c>
      <c r="T273" s="14" t="n"/>
    </row>
    <row r="274" ht="15" customHeight="1" s="28">
      <c r="A274" s="14" t="n"/>
      <c r="B274" s="14" t="n"/>
      <c r="C274" s="14" t="n"/>
      <c r="D274" s="14" t="n"/>
      <c r="E274" s="14" t="n"/>
      <c r="F274" s="14" t="n"/>
      <c r="G274" s="14" t="n"/>
      <c r="H274" s="15" t="n"/>
      <c r="I274" s="15" t="n"/>
      <c r="J274" s="14" t="n"/>
      <c r="K274" s="16">
        <f>IFERROR(VLOOKUP(A274,Precios!$A$5:$C$14,2,FALSE()),"")</f>
        <v/>
      </c>
      <c r="L274" s="16">
        <f>IFERROR(VLOOKUP(A274,Precios!$A$5:$C$14,3,FALSE()),"")</f>
        <v/>
      </c>
      <c r="M274" s="16">
        <f>IF(AND(K274&lt;&gt;"",L274&lt;&gt;""),L274-K274,"")</f>
        <v/>
      </c>
      <c r="N274" s="14">
        <f>IF(AND(H274&lt;&gt;"",I274&lt;&gt;""),I274-H274,"")</f>
        <v/>
      </c>
      <c r="O274" s="14">
        <f>IF(I274&lt;&gt;"",I274-TODAY(),"")</f>
        <v/>
      </c>
      <c r="P274" s="15">
        <f>IF(I274="","",IF(J274="Anual",I274+365,I274+30))</f>
        <v/>
      </c>
      <c r="Q274" s="14">
        <f>IF(I274="","",IF(O274&lt;0,"Vencida",IF(O274&lt;=3,"Por vencer","Activa")))</f>
        <v/>
      </c>
      <c r="R274" s="14" t="n"/>
      <c r="S274" s="14">
        <f>IF(OR(E274="",I274=""),"",HYPERLINK(IF(F274&lt;&gt;"","https://wa.me/"&amp;SUBSTITUTE(SUBSTITUTE(SUBSTITUTE(F274,"+",""),"-","")," ","")&amp;"?text="&amp;SUBSTITUTE(SUBSTITUTE("Hola "&amp;E274&amp;", tu cuenta de "&amp;A274&amp;" vence el "&amp;TEXT(I274,"dd/mm/yyyy")&amp;". Deseas renovarla?"," ","%20"),"?","%3F"),"https://api.whatsapp.com/send?text="&amp;SUBSTITUTE(SUBSTITUTE("Hola "&amp;E274&amp;", tu cuenta de "&amp;A274&amp;" vence el "&amp;TEXT(I274,"dd/mm/yyyy")&amp;". Deseas renovarla?"," ","%20"),"?","%3F")),"Enviar recordatorio"))</f>
        <v/>
      </c>
      <c r="T274" s="14" t="n"/>
    </row>
    <row r="275" ht="15" customHeight="1" s="28">
      <c r="A275" s="14" t="n"/>
      <c r="B275" s="14" t="n"/>
      <c r="C275" s="14" t="n"/>
      <c r="D275" s="14" t="n"/>
      <c r="E275" s="14" t="n"/>
      <c r="F275" s="14" t="n"/>
      <c r="G275" s="14" t="n"/>
      <c r="H275" s="15" t="n"/>
      <c r="I275" s="15" t="n"/>
      <c r="J275" s="14" t="n"/>
      <c r="K275" s="16">
        <f>IFERROR(VLOOKUP(A275,Precios!$A$5:$C$14,2,FALSE()),"")</f>
        <v/>
      </c>
      <c r="L275" s="16">
        <f>IFERROR(VLOOKUP(A275,Precios!$A$5:$C$14,3,FALSE()),"")</f>
        <v/>
      </c>
      <c r="M275" s="16">
        <f>IF(AND(K275&lt;&gt;"",L275&lt;&gt;""),L275-K275,"")</f>
        <v/>
      </c>
      <c r="N275" s="14">
        <f>IF(AND(H275&lt;&gt;"",I275&lt;&gt;""),I275-H275,"")</f>
        <v/>
      </c>
      <c r="O275" s="14">
        <f>IF(I275&lt;&gt;"",I275-TODAY(),"")</f>
        <v/>
      </c>
      <c r="P275" s="15">
        <f>IF(I275="","",IF(J275="Anual",I275+365,I275+30))</f>
        <v/>
      </c>
      <c r="Q275" s="14">
        <f>IF(I275="","",IF(O275&lt;0,"Vencida",IF(O275&lt;=3,"Por vencer","Activa")))</f>
        <v/>
      </c>
      <c r="R275" s="14" t="n"/>
      <c r="S275" s="14">
        <f>IF(OR(E275="",I275=""),"",HYPERLINK(IF(F275&lt;&gt;"","https://wa.me/"&amp;SUBSTITUTE(SUBSTITUTE(SUBSTITUTE(F275,"+",""),"-","")," ","")&amp;"?text="&amp;SUBSTITUTE(SUBSTITUTE("Hola "&amp;E275&amp;", tu cuenta de "&amp;A275&amp;" vence el "&amp;TEXT(I275,"dd/mm/yyyy")&amp;". Deseas renovarla?"," ","%20"),"?","%3F"),"https://api.whatsapp.com/send?text="&amp;SUBSTITUTE(SUBSTITUTE("Hola "&amp;E275&amp;", tu cuenta de "&amp;A275&amp;" vence el "&amp;TEXT(I275,"dd/mm/yyyy")&amp;". Deseas renovarla?"," ","%20"),"?","%3F")),"Enviar recordatorio"))</f>
        <v/>
      </c>
      <c r="T275" s="14" t="n"/>
    </row>
    <row r="276" ht="15" customHeight="1" s="28">
      <c r="A276" s="14" t="n"/>
      <c r="B276" s="14" t="n"/>
      <c r="C276" s="14" t="n"/>
      <c r="D276" s="14" t="n"/>
      <c r="E276" s="14" t="n"/>
      <c r="F276" s="14" t="n"/>
      <c r="G276" s="14" t="n"/>
      <c r="H276" s="15" t="n"/>
      <c r="I276" s="15" t="n"/>
      <c r="J276" s="14" t="n"/>
      <c r="K276" s="16">
        <f>IFERROR(VLOOKUP(A276,Precios!$A$5:$C$14,2,FALSE()),"")</f>
        <v/>
      </c>
      <c r="L276" s="16">
        <f>IFERROR(VLOOKUP(A276,Precios!$A$5:$C$14,3,FALSE()),"")</f>
        <v/>
      </c>
      <c r="M276" s="16">
        <f>IF(AND(K276&lt;&gt;"",L276&lt;&gt;""),L276-K276,"")</f>
        <v/>
      </c>
      <c r="N276" s="14">
        <f>IF(AND(H276&lt;&gt;"",I276&lt;&gt;""),I276-H276,"")</f>
        <v/>
      </c>
      <c r="O276" s="14">
        <f>IF(I276&lt;&gt;"",I276-TODAY(),"")</f>
        <v/>
      </c>
      <c r="P276" s="15">
        <f>IF(I276="","",IF(J276="Anual",I276+365,I276+30))</f>
        <v/>
      </c>
      <c r="Q276" s="14">
        <f>IF(I276="","",IF(O276&lt;0,"Vencida",IF(O276&lt;=3,"Por vencer","Activa")))</f>
        <v/>
      </c>
      <c r="R276" s="14" t="n"/>
      <c r="S276" s="14">
        <f>IF(OR(E276="",I276=""),"",HYPERLINK(IF(F276&lt;&gt;"","https://wa.me/"&amp;SUBSTITUTE(SUBSTITUTE(SUBSTITUTE(F276,"+",""),"-","")," ","")&amp;"?text="&amp;SUBSTITUTE(SUBSTITUTE("Hola "&amp;E276&amp;", tu cuenta de "&amp;A276&amp;" vence el "&amp;TEXT(I276,"dd/mm/yyyy")&amp;". Deseas renovarla?"," ","%20"),"?","%3F"),"https://api.whatsapp.com/send?text="&amp;SUBSTITUTE(SUBSTITUTE("Hola "&amp;E276&amp;", tu cuenta de "&amp;A276&amp;" vence el "&amp;TEXT(I276,"dd/mm/yyyy")&amp;". Deseas renovarla?"," ","%20"),"?","%3F")),"Enviar recordatorio"))</f>
        <v/>
      </c>
      <c r="T276" s="14" t="n"/>
    </row>
    <row r="277" ht="15" customHeight="1" s="28">
      <c r="A277" s="14" t="n"/>
      <c r="B277" s="14" t="n"/>
      <c r="C277" s="14" t="n"/>
      <c r="D277" s="14" t="n"/>
      <c r="E277" s="14" t="n"/>
      <c r="F277" s="14" t="n"/>
      <c r="G277" s="14" t="n"/>
      <c r="H277" s="15" t="n"/>
      <c r="I277" s="15" t="n"/>
      <c r="J277" s="14" t="n"/>
      <c r="K277" s="16">
        <f>IFERROR(VLOOKUP(A277,Precios!$A$5:$C$14,2,FALSE()),"")</f>
        <v/>
      </c>
      <c r="L277" s="16">
        <f>IFERROR(VLOOKUP(A277,Precios!$A$5:$C$14,3,FALSE()),"")</f>
        <v/>
      </c>
      <c r="M277" s="16">
        <f>IF(AND(K277&lt;&gt;"",L277&lt;&gt;""),L277-K277,"")</f>
        <v/>
      </c>
      <c r="N277" s="14">
        <f>IF(AND(H277&lt;&gt;"",I277&lt;&gt;""),I277-H277,"")</f>
        <v/>
      </c>
      <c r="O277" s="14">
        <f>IF(I277&lt;&gt;"",I277-TODAY(),"")</f>
        <v/>
      </c>
      <c r="P277" s="15">
        <f>IF(I277="","",IF(J277="Anual",I277+365,I277+30))</f>
        <v/>
      </c>
      <c r="Q277" s="14">
        <f>IF(I277="","",IF(O277&lt;0,"Vencida",IF(O277&lt;=3,"Por vencer","Activa")))</f>
        <v/>
      </c>
      <c r="R277" s="14" t="n"/>
      <c r="S277" s="14">
        <f>IF(OR(E277="",I277=""),"",HYPERLINK(IF(F277&lt;&gt;"","https://wa.me/"&amp;SUBSTITUTE(SUBSTITUTE(SUBSTITUTE(F277,"+",""),"-","")," ","")&amp;"?text="&amp;SUBSTITUTE(SUBSTITUTE("Hola "&amp;E277&amp;", tu cuenta de "&amp;A277&amp;" vence el "&amp;TEXT(I277,"dd/mm/yyyy")&amp;". Deseas renovarla?"," ","%20"),"?","%3F"),"https://api.whatsapp.com/send?text="&amp;SUBSTITUTE(SUBSTITUTE("Hola "&amp;E277&amp;", tu cuenta de "&amp;A277&amp;" vence el "&amp;TEXT(I277,"dd/mm/yyyy")&amp;". Deseas renovarla?"," ","%20"),"?","%3F")),"Enviar recordatorio"))</f>
        <v/>
      </c>
      <c r="T277" s="14" t="n"/>
    </row>
    <row r="278" ht="15" customHeight="1" s="28">
      <c r="A278" s="14" t="n"/>
      <c r="B278" s="14" t="n"/>
      <c r="C278" s="14" t="n"/>
      <c r="D278" s="14" t="n"/>
      <c r="E278" s="14" t="n"/>
      <c r="F278" s="14" t="n"/>
      <c r="G278" s="14" t="n"/>
      <c r="H278" s="15" t="n"/>
      <c r="I278" s="15" t="n"/>
      <c r="J278" s="14" t="n"/>
      <c r="K278" s="16">
        <f>IFERROR(VLOOKUP(A278,Precios!$A$5:$C$14,2,FALSE()),"")</f>
        <v/>
      </c>
      <c r="L278" s="16">
        <f>IFERROR(VLOOKUP(A278,Precios!$A$5:$C$14,3,FALSE()),"")</f>
        <v/>
      </c>
      <c r="M278" s="16">
        <f>IF(AND(K278&lt;&gt;"",L278&lt;&gt;""),L278-K278,"")</f>
        <v/>
      </c>
      <c r="N278" s="14">
        <f>IF(AND(H278&lt;&gt;"",I278&lt;&gt;""),I278-H278,"")</f>
        <v/>
      </c>
      <c r="O278" s="14">
        <f>IF(I278&lt;&gt;"",I278-TODAY(),"")</f>
        <v/>
      </c>
      <c r="P278" s="15">
        <f>IF(I278="","",IF(J278="Anual",I278+365,I278+30))</f>
        <v/>
      </c>
      <c r="Q278" s="14">
        <f>IF(I278="","",IF(O278&lt;0,"Vencida",IF(O278&lt;=3,"Por vencer","Activa")))</f>
        <v/>
      </c>
      <c r="R278" s="14" t="n"/>
      <c r="S278" s="14">
        <f>IF(OR(E278="",I278=""),"",HYPERLINK(IF(F278&lt;&gt;"","https://wa.me/"&amp;SUBSTITUTE(SUBSTITUTE(SUBSTITUTE(F278,"+",""),"-","")," ","")&amp;"?text="&amp;SUBSTITUTE(SUBSTITUTE("Hola "&amp;E278&amp;", tu cuenta de "&amp;A278&amp;" vence el "&amp;TEXT(I278,"dd/mm/yyyy")&amp;". Deseas renovarla?"," ","%20"),"?","%3F"),"https://api.whatsapp.com/send?text="&amp;SUBSTITUTE(SUBSTITUTE("Hola "&amp;E278&amp;", tu cuenta de "&amp;A278&amp;" vence el "&amp;TEXT(I278,"dd/mm/yyyy")&amp;". Deseas renovarla?"," ","%20"),"?","%3F")),"Enviar recordatorio"))</f>
        <v/>
      </c>
      <c r="T278" s="14" t="n"/>
    </row>
    <row r="279" ht="15" customHeight="1" s="28">
      <c r="A279" s="14" t="n"/>
      <c r="B279" s="14" t="n"/>
      <c r="C279" s="14" t="n"/>
      <c r="D279" s="14" t="n"/>
      <c r="E279" s="14" t="n"/>
      <c r="F279" s="14" t="n"/>
      <c r="G279" s="14" t="n"/>
      <c r="H279" s="15" t="n"/>
      <c r="I279" s="15" t="n"/>
      <c r="J279" s="14" t="n"/>
      <c r="K279" s="16">
        <f>IFERROR(VLOOKUP(A279,Precios!$A$5:$C$14,2,FALSE()),"")</f>
        <v/>
      </c>
      <c r="L279" s="16">
        <f>IFERROR(VLOOKUP(A279,Precios!$A$5:$C$14,3,FALSE()),"")</f>
        <v/>
      </c>
      <c r="M279" s="16">
        <f>IF(AND(K279&lt;&gt;"",L279&lt;&gt;""),L279-K279,"")</f>
        <v/>
      </c>
      <c r="N279" s="14">
        <f>IF(AND(H279&lt;&gt;"",I279&lt;&gt;""),I279-H279,"")</f>
        <v/>
      </c>
      <c r="O279" s="14">
        <f>IF(I279&lt;&gt;"",I279-TODAY(),"")</f>
        <v/>
      </c>
      <c r="P279" s="15">
        <f>IF(I279="","",IF(J279="Anual",I279+365,I279+30))</f>
        <v/>
      </c>
      <c r="Q279" s="14">
        <f>IF(I279="","",IF(O279&lt;0,"Vencida",IF(O279&lt;=3,"Por vencer","Activa")))</f>
        <v/>
      </c>
      <c r="R279" s="14" t="n"/>
      <c r="S279" s="14">
        <f>IF(OR(E279="",I279=""),"",HYPERLINK(IF(F279&lt;&gt;"","https://wa.me/"&amp;SUBSTITUTE(SUBSTITUTE(SUBSTITUTE(F279,"+",""),"-","")," ","")&amp;"?text="&amp;SUBSTITUTE(SUBSTITUTE("Hola "&amp;E279&amp;", tu cuenta de "&amp;A279&amp;" vence el "&amp;TEXT(I279,"dd/mm/yyyy")&amp;". Deseas renovarla?"," ","%20"),"?","%3F"),"https://api.whatsapp.com/send?text="&amp;SUBSTITUTE(SUBSTITUTE("Hola "&amp;E279&amp;", tu cuenta de "&amp;A279&amp;" vence el "&amp;TEXT(I279,"dd/mm/yyyy")&amp;". Deseas renovarla?"," ","%20"),"?","%3F")),"Enviar recordatorio"))</f>
        <v/>
      </c>
      <c r="T279" s="14" t="n"/>
    </row>
    <row r="280" ht="15" customHeight="1" s="28">
      <c r="A280" s="14" t="n"/>
      <c r="B280" s="14" t="n"/>
      <c r="C280" s="14" t="n"/>
      <c r="D280" s="14" t="n"/>
      <c r="E280" s="14" t="n"/>
      <c r="F280" s="14" t="n"/>
      <c r="G280" s="14" t="n"/>
      <c r="H280" s="15" t="n"/>
      <c r="I280" s="15" t="n"/>
      <c r="J280" s="14" t="n"/>
      <c r="K280" s="16">
        <f>IFERROR(VLOOKUP(A280,Precios!$A$5:$C$14,2,FALSE()),"")</f>
        <v/>
      </c>
      <c r="L280" s="16">
        <f>IFERROR(VLOOKUP(A280,Precios!$A$5:$C$14,3,FALSE()),"")</f>
        <v/>
      </c>
      <c r="M280" s="16">
        <f>IF(AND(K280&lt;&gt;"",L280&lt;&gt;""),L280-K280,"")</f>
        <v/>
      </c>
      <c r="N280" s="14">
        <f>IF(AND(H280&lt;&gt;"",I280&lt;&gt;""),I280-H280,"")</f>
        <v/>
      </c>
      <c r="O280" s="14">
        <f>IF(I280&lt;&gt;"",I280-TODAY(),"")</f>
        <v/>
      </c>
      <c r="P280" s="15">
        <f>IF(I280="","",IF(J280="Anual",I280+365,I280+30))</f>
        <v/>
      </c>
      <c r="Q280" s="14">
        <f>IF(I280="","",IF(O280&lt;0,"Vencida",IF(O280&lt;=3,"Por vencer","Activa")))</f>
        <v/>
      </c>
      <c r="R280" s="14" t="n"/>
      <c r="S280" s="14">
        <f>IF(OR(E280="",I280=""),"",HYPERLINK(IF(F280&lt;&gt;"","https://wa.me/"&amp;SUBSTITUTE(SUBSTITUTE(SUBSTITUTE(F280,"+",""),"-","")," ","")&amp;"?text="&amp;SUBSTITUTE(SUBSTITUTE("Hola "&amp;E280&amp;", tu cuenta de "&amp;A280&amp;" vence el "&amp;TEXT(I280,"dd/mm/yyyy")&amp;". Deseas renovarla?"," ","%20"),"?","%3F"),"https://api.whatsapp.com/send?text="&amp;SUBSTITUTE(SUBSTITUTE("Hola "&amp;E280&amp;", tu cuenta de "&amp;A280&amp;" vence el "&amp;TEXT(I280,"dd/mm/yyyy")&amp;". Deseas renovarla?"," ","%20"),"?","%3F")),"Enviar recordatorio"))</f>
        <v/>
      </c>
      <c r="T280" s="14" t="n"/>
    </row>
    <row r="281" ht="15" customHeight="1" s="28">
      <c r="A281" s="14" t="n"/>
      <c r="B281" s="14" t="n"/>
      <c r="C281" s="14" t="n"/>
      <c r="D281" s="14" t="n"/>
      <c r="E281" s="14" t="n"/>
      <c r="F281" s="14" t="n"/>
      <c r="G281" s="14" t="n"/>
      <c r="H281" s="15" t="n"/>
      <c r="I281" s="15" t="n"/>
      <c r="J281" s="14" t="n"/>
      <c r="K281" s="16">
        <f>IFERROR(VLOOKUP(A281,Precios!$A$5:$C$14,2,FALSE()),"")</f>
        <v/>
      </c>
      <c r="L281" s="16">
        <f>IFERROR(VLOOKUP(A281,Precios!$A$5:$C$14,3,FALSE()),"")</f>
        <v/>
      </c>
      <c r="M281" s="16">
        <f>IF(AND(K281&lt;&gt;"",L281&lt;&gt;""),L281-K281,"")</f>
        <v/>
      </c>
      <c r="N281" s="14">
        <f>IF(AND(H281&lt;&gt;"",I281&lt;&gt;""),I281-H281,"")</f>
        <v/>
      </c>
      <c r="O281" s="14">
        <f>IF(I281&lt;&gt;"",I281-TODAY(),"")</f>
        <v/>
      </c>
      <c r="P281" s="15">
        <f>IF(I281="","",IF(J281="Anual",I281+365,I281+30))</f>
        <v/>
      </c>
      <c r="Q281" s="14">
        <f>IF(I281="","",IF(O281&lt;0,"Vencida",IF(O281&lt;=3,"Por vencer","Activa")))</f>
        <v/>
      </c>
      <c r="R281" s="14" t="n"/>
      <c r="S281" s="14">
        <f>IF(OR(E281="",I281=""),"",HYPERLINK(IF(F281&lt;&gt;"","https://wa.me/"&amp;SUBSTITUTE(SUBSTITUTE(SUBSTITUTE(F281,"+",""),"-","")," ","")&amp;"?text="&amp;SUBSTITUTE(SUBSTITUTE("Hola "&amp;E281&amp;", tu cuenta de "&amp;A281&amp;" vence el "&amp;TEXT(I281,"dd/mm/yyyy")&amp;". Deseas renovarla?"," ","%20"),"?","%3F"),"https://api.whatsapp.com/send?text="&amp;SUBSTITUTE(SUBSTITUTE("Hola "&amp;E281&amp;", tu cuenta de "&amp;A281&amp;" vence el "&amp;TEXT(I281,"dd/mm/yyyy")&amp;". Deseas renovarla?"," ","%20"),"?","%3F")),"Enviar recordatorio"))</f>
        <v/>
      </c>
      <c r="T281" s="14" t="n"/>
    </row>
    <row r="282" ht="15" customHeight="1" s="28">
      <c r="A282" s="14" t="n"/>
      <c r="B282" s="14" t="n"/>
      <c r="C282" s="14" t="n"/>
      <c r="D282" s="14" t="n"/>
      <c r="E282" s="14" t="n"/>
      <c r="F282" s="14" t="n"/>
      <c r="G282" s="14" t="n"/>
      <c r="H282" s="15" t="n"/>
      <c r="I282" s="15" t="n"/>
      <c r="J282" s="14" t="n"/>
      <c r="K282" s="16">
        <f>IFERROR(VLOOKUP(A282,Precios!$A$5:$C$14,2,FALSE()),"")</f>
        <v/>
      </c>
      <c r="L282" s="16">
        <f>IFERROR(VLOOKUP(A282,Precios!$A$5:$C$14,3,FALSE()),"")</f>
        <v/>
      </c>
      <c r="M282" s="16">
        <f>IF(AND(K282&lt;&gt;"",L282&lt;&gt;""),L282-K282,"")</f>
        <v/>
      </c>
      <c r="N282" s="14">
        <f>IF(AND(H282&lt;&gt;"",I282&lt;&gt;""),I282-H282,"")</f>
        <v/>
      </c>
      <c r="O282" s="14">
        <f>IF(I282&lt;&gt;"",I282-TODAY(),"")</f>
        <v/>
      </c>
      <c r="P282" s="15">
        <f>IF(I282="","",IF(J282="Anual",I282+365,I282+30))</f>
        <v/>
      </c>
      <c r="Q282" s="14">
        <f>IF(I282="","",IF(O282&lt;0,"Vencida",IF(O282&lt;=3,"Por vencer","Activa")))</f>
        <v/>
      </c>
      <c r="R282" s="14" t="n"/>
      <c r="S282" s="14">
        <f>IF(OR(E282="",I282=""),"",HYPERLINK(IF(F282&lt;&gt;"","https://wa.me/"&amp;SUBSTITUTE(SUBSTITUTE(SUBSTITUTE(F282,"+",""),"-","")," ","")&amp;"?text="&amp;SUBSTITUTE(SUBSTITUTE("Hola "&amp;E282&amp;", tu cuenta de "&amp;A282&amp;" vence el "&amp;TEXT(I282,"dd/mm/yyyy")&amp;". Deseas renovarla?"," ","%20"),"?","%3F"),"https://api.whatsapp.com/send?text="&amp;SUBSTITUTE(SUBSTITUTE("Hola "&amp;E282&amp;", tu cuenta de "&amp;A282&amp;" vence el "&amp;TEXT(I282,"dd/mm/yyyy")&amp;". Deseas renovarla?"," ","%20"),"?","%3F")),"Enviar recordatorio"))</f>
        <v/>
      </c>
      <c r="T282" s="14" t="n"/>
    </row>
    <row r="283" ht="15" customHeight="1" s="28">
      <c r="A283" s="14" t="n"/>
      <c r="B283" s="14" t="n"/>
      <c r="C283" s="14" t="n"/>
      <c r="D283" s="14" t="n"/>
      <c r="E283" s="14" t="n"/>
      <c r="F283" s="14" t="n"/>
      <c r="G283" s="14" t="n"/>
      <c r="H283" s="15" t="n"/>
      <c r="I283" s="15" t="n"/>
      <c r="J283" s="14" t="n"/>
      <c r="K283" s="16">
        <f>IFERROR(VLOOKUP(A283,Precios!$A$5:$C$14,2,FALSE()),"")</f>
        <v/>
      </c>
      <c r="L283" s="16">
        <f>IFERROR(VLOOKUP(A283,Precios!$A$5:$C$14,3,FALSE()),"")</f>
        <v/>
      </c>
      <c r="M283" s="16">
        <f>IF(AND(K283&lt;&gt;"",L283&lt;&gt;""),L283-K283,"")</f>
        <v/>
      </c>
      <c r="N283" s="14">
        <f>IF(AND(H283&lt;&gt;"",I283&lt;&gt;""),I283-H283,"")</f>
        <v/>
      </c>
      <c r="O283" s="14">
        <f>IF(I283&lt;&gt;"",I283-TODAY(),"")</f>
        <v/>
      </c>
      <c r="P283" s="15">
        <f>IF(I283="","",IF(J283="Anual",I283+365,I283+30))</f>
        <v/>
      </c>
      <c r="Q283" s="14">
        <f>IF(I283="","",IF(O283&lt;0,"Vencida",IF(O283&lt;=3,"Por vencer","Activa")))</f>
        <v/>
      </c>
      <c r="R283" s="14" t="n"/>
      <c r="S283" s="14">
        <f>IF(OR(E283="",I283=""),"",HYPERLINK(IF(F283&lt;&gt;"","https://wa.me/"&amp;SUBSTITUTE(SUBSTITUTE(SUBSTITUTE(F283,"+",""),"-","")," ","")&amp;"?text="&amp;SUBSTITUTE(SUBSTITUTE("Hola "&amp;E283&amp;", tu cuenta de "&amp;A283&amp;" vence el "&amp;TEXT(I283,"dd/mm/yyyy")&amp;". Deseas renovarla?"," ","%20"),"?","%3F"),"https://api.whatsapp.com/send?text="&amp;SUBSTITUTE(SUBSTITUTE("Hola "&amp;E283&amp;", tu cuenta de "&amp;A283&amp;" vence el "&amp;TEXT(I283,"dd/mm/yyyy")&amp;". Deseas renovarla?"," ","%20"),"?","%3F")),"Enviar recordatorio"))</f>
        <v/>
      </c>
      <c r="T283" s="14" t="n"/>
    </row>
    <row r="284" ht="15" customHeight="1" s="28">
      <c r="A284" s="14" t="n"/>
      <c r="B284" s="14" t="n"/>
      <c r="C284" s="14" t="n"/>
      <c r="D284" s="14" t="n"/>
      <c r="E284" s="14" t="n"/>
      <c r="F284" s="14" t="n"/>
      <c r="G284" s="14" t="n"/>
      <c r="H284" s="15" t="n"/>
      <c r="I284" s="15" t="n"/>
      <c r="J284" s="14" t="n"/>
      <c r="K284" s="16">
        <f>IFERROR(VLOOKUP(A284,Precios!$A$5:$C$14,2,FALSE()),"")</f>
        <v/>
      </c>
      <c r="L284" s="16">
        <f>IFERROR(VLOOKUP(A284,Precios!$A$5:$C$14,3,FALSE()),"")</f>
        <v/>
      </c>
      <c r="M284" s="16">
        <f>IF(AND(K284&lt;&gt;"",L284&lt;&gt;""),L284-K284,"")</f>
        <v/>
      </c>
      <c r="N284" s="14">
        <f>IF(AND(H284&lt;&gt;"",I284&lt;&gt;""),I284-H284,"")</f>
        <v/>
      </c>
      <c r="O284" s="14">
        <f>IF(I284&lt;&gt;"",I284-TODAY(),"")</f>
        <v/>
      </c>
      <c r="P284" s="15">
        <f>IF(I284="","",IF(J284="Anual",I284+365,I284+30))</f>
        <v/>
      </c>
      <c r="Q284" s="14">
        <f>IF(I284="","",IF(O284&lt;0,"Vencida",IF(O284&lt;=3,"Por vencer","Activa")))</f>
        <v/>
      </c>
      <c r="R284" s="14" t="n"/>
      <c r="S284" s="14">
        <f>IF(OR(E284="",I284=""),"",HYPERLINK(IF(F284&lt;&gt;"","https://wa.me/"&amp;SUBSTITUTE(SUBSTITUTE(SUBSTITUTE(F284,"+",""),"-","")," ","")&amp;"?text="&amp;SUBSTITUTE(SUBSTITUTE("Hola "&amp;E284&amp;", tu cuenta de "&amp;A284&amp;" vence el "&amp;TEXT(I284,"dd/mm/yyyy")&amp;". Deseas renovarla?"," ","%20"),"?","%3F"),"https://api.whatsapp.com/send?text="&amp;SUBSTITUTE(SUBSTITUTE("Hola "&amp;E284&amp;", tu cuenta de "&amp;A284&amp;" vence el "&amp;TEXT(I284,"dd/mm/yyyy")&amp;". Deseas renovarla?"," ","%20"),"?","%3F")),"Enviar recordatorio"))</f>
        <v/>
      </c>
      <c r="T284" s="14" t="n"/>
    </row>
    <row r="285" ht="15" customHeight="1" s="28">
      <c r="A285" s="14" t="n"/>
      <c r="B285" s="14" t="n"/>
      <c r="C285" s="14" t="n"/>
      <c r="D285" s="14" t="n"/>
      <c r="E285" s="14" t="n"/>
      <c r="F285" s="14" t="n"/>
      <c r="G285" s="14" t="n"/>
      <c r="H285" s="15" t="n"/>
      <c r="I285" s="15" t="n"/>
      <c r="J285" s="14" t="n"/>
      <c r="K285" s="16">
        <f>IFERROR(VLOOKUP(A285,Precios!$A$5:$C$14,2,FALSE()),"")</f>
        <v/>
      </c>
      <c r="L285" s="16">
        <f>IFERROR(VLOOKUP(A285,Precios!$A$5:$C$14,3,FALSE()),"")</f>
        <v/>
      </c>
      <c r="M285" s="16">
        <f>IF(AND(K285&lt;&gt;"",L285&lt;&gt;""),L285-K285,"")</f>
        <v/>
      </c>
      <c r="N285" s="14">
        <f>IF(AND(H285&lt;&gt;"",I285&lt;&gt;""),I285-H285,"")</f>
        <v/>
      </c>
      <c r="O285" s="14">
        <f>IF(I285&lt;&gt;"",I285-TODAY(),"")</f>
        <v/>
      </c>
      <c r="P285" s="15">
        <f>IF(I285="","",IF(J285="Anual",I285+365,I285+30))</f>
        <v/>
      </c>
      <c r="Q285" s="14">
        <f>IF(I285="","",IF(O285&lt;0,"Vencida",IF(O285&lt;=3,"Por vencer","Activa")))</f>
        <v/>
      </c>
      <c r="R285" s="14" t="n"/>
      <c r="S285" s="14">
        <f>IF(OR(E285="",I285=""),"",HYPERLINK(IF(F285&lt;&gt;"","https://wa.me/"&amp;SUBSTITUTE(SUBSTITUTE(SUBSTITUTE(F285,"+",""),"-","")," ","")&amp;"?text="&amp;SUBSTITUTE(SUBSTITUTE("Hola "&amp;E285&amp;", tu cuenta de "&amp;A285&amp;" vence el "&amp;TEXT(I285,"dd/mm/yyyy")&amp;". Deseas renovarla?"," ","%20"),"?","%3F"),"https://api.whatsapp.com/send?text="&amp;SUBSTITUTE(SUBSTITUTE("Hola "&amp;E285&amp;", tu cuenta de "&amp;A285&amp;" vence el "&amp;TEXT(I285,"dd/mm/yyyy")&amp;". Deseas renovarla?"," ","%20"),"?","%3F")),"Enviar recordatorio"))</f>
        <v/>
      </c>
      <c r="T285" s="14" t="n"/>
    </row>
    <row r="286" ht="15" customHeight="1" s="28">
      <c r="A286" s="14" t="n"/>
      <c r="B286" s="14" t="n"/>
      <c r="C286" s="14" t="n"/>
      <c r="D286" s="14" t="n"/>
      <c r="E286" s="14" t="n"/>
      <c r="F286" s="14" t="n"/>
      <c r="G286" s="14" t="n"/>
      <c r="H286" s="15" t="n"/>
      <c r="I286" s="15" t="n"/>
      <c r="J286" s="14" t="n"/>
      <c r="K286" s="16">
        <f>IFERROR(VLOOKUP(A286,Precios!$A$5:$C$14,2,FALSE()),"")</f>
        <v/>
      </c>
      <c r="L286" s="16">
        <f>IFERROR(VLOOKUP(A286,Precios!$A$5:$C$14,3,FALSE()),"")</f>
        <v/>
      </c>
      <c r="M286" s="16">
        <f>IF(AND(K286&lt;&gt;"",L286&lt;&gt;""),L286-K286,"")</f>
        <v/>
      </c>
      <c r="N286" s="14">
        <f>IF(AND(H286&lt;&gt;"",I286&lt;&gt;""),I286-H286,"")</f>
        <v/>
      </c>
      <c r="O286" s="14">
        <f>IF(I286&lt;&gt;"",I286-TODAY(),"")</f>
        <v/>
      </c>
      <c r="P286" s="15">
        <f>IF(I286="","",IF(J286="Anual",I286+365,I286+30))</f>
        <v/>
      </c>
      <c r="Q286" s="14">
        <f>IF(I286="","",IF(O286&lt;0,"Vencida",IF(O286&lt;=3,"Por vencer","Activa")))</f>
        <v/>
      </c>
      <c r="R286" s="14" t="n"/>
      <c r="S286" s="14">
        <f>IF(OR(E286="",I286=""),"",HYPERLINK(IF(F286&lt;&gt;"","https://wa.me/"&amp;SUBSTITUTE(SUBSTITUTE(SUBSTITUTE(F286,"+",""),"-","")," ","")&amp;"?text="&amp;SUBSTITUTE(SUBSTITUTE("Hola "&amp;E286&amp;", tu cuenta de "&amp;A286&amp;" vence el "&amp;TEXT(I286,"dd/mm/yyyy")&amp;". Deseas renovarla?"," ","%20"),"?","%3F"),"https://api.whatsapp.com/send?text="&amp;SUBSTITUTE(SUBSTITUTE("Hola "&amp;E286&amp;", tu cuenta de "&amp;A286&amp;" vence el "&amp;TEXT(I286,"dd/mm/yyyy")&amp;". Deseas renovarla?"," ","%20"),"?","%3F")),"Enviar recordatorio"))</f>
        <v/>
      </c>
      <c r="T286" s="14" t="n"/>
    </row>
    <row r="287" ht="15" customHeight="1" s="28">
      <c r="A287" s="14" t="n"/>
      <c r="B287" s="14" t="n"/>
      <c r="C287" s="14" t="n"/>
      <c r="D287" s="14" t="n"/>
      <c r="E287" s="14" t="n"/>
      <c r="F287" s="14" t="n"/>
      <c r="G287" s="14" t="n"/>
      <c r="H287" s="15" t="n"/>
      <c r="I287" s="15" t="n"/>
      <c r="J287" s="14" t="n"/>
      <c r="K287" s="16">
        <f>IFERROR(VLOOKUP(A287,Precios!$A$5:$C$14,2,FALSE()),"")</f>
        <v/>
      </c>
      <c r="L287" s="16">
        <f>IFERROR(VLOOKUP(A287,Precios!$A$5:$C$14,3,FALSE()),"")</f>
        <v/>
      </c>
      <c r="M287" s="16">
        <f>IF(AND(K287&lt;&gt;"",L287&lt;&gt;""),L287-K287,"")</f>
        <v/>
      </c>
      <c r="N287" s="14">
        <f>IF(AND(H287&lt;&gt;"",I287&lt;&gt;""),I287-H287,"")</f>
        <v/>
      </c>
      <c r="O287" s="14">
        <f>IF(I287&lt;&gt;"",I287-TODAY(),"")</f>
        <v/>
      </c>
      <c r="P287" s="15">
        <f>IF(I287="","",IF(J287="Anual",I287+365,I287+30))</f>
        <v/>
      </c>
      <c r="Q287" s="14">
        <f>IF(I287="","",IF(O287&lt;0,"Vencida",IF(O287&lt;=3,"Por vencer","Activa")))</f>
        <v/>
      </c>
      <c r="R287" s="14" t="n"/>
      <c r="S287" s="14">
        <f>IF(OR(E287="",I287=""),"",HYPERLINK(IF(F287&lt;&gt;"","https://wa.me/"&amp;SUBSTITUTE(SUBSTITUTE(SUBSTITUTE(F287,"+",""),"-","")," ","")&amp;"?text="&amp;SUBSTITUTE(SUBSTITUTE("Hola "&amp;E287&amp;", tu cuenta de "&amp;A287&amp;" vence el "&amp;TEXT(I287,"dd/mm/yyyy")&amp;". Deseas renovarla?"," ","%20"),"?","%3F"),"https://api.whatsapp.com/send?text="&amp;SUBSTITUTE(SUBSTITUTE("Hola "&amp;E287&amp;", tu cuenta de "&amp;A287&amp;" vence el "&amp;TEXT(I287,"dd/mm/yyyy")&amp;". Deseas renovarla?"," ","%20"),"?","%3F")),"Enviar recordatorio"))</f>
        <v/>
      </c>
      <c r="T287" s="14" t="n"/>
    </row>
    <row r="288" ht="15" customHeight="1" s="28">
      <c r="A288" s="14" t="n"/>
      <c r="B288" s="14" t="n"/>
      <c r="C288" s="14" t="n"/>
      <c r="D288" s="14" t="n"/>
      <c r="E288" s="14" t="n"/>
      <c r="F288" s="14" t="n"/>
      <c r="G288" s="14" t="n"/>
      <c r="H288" s="15" t="n"/>
      <c r="I288" s="15" t="n"/>
      <c r="J288" s="14" t="n"/>
      <c r="K288" s="16">
        <f>IFERROR(VLOOKUP(A288,Precios!$A$5:$C$14,2,FALSE()),"")</f>
        <v/>
      </c>
      <c r="L288" s="16">
        <f>IFERROR(VLOOKUP(A288,Precios!$A$5:$C$14,3,FALSE()),"")</f>
        <v/>
      </c>
      <c r="M288" s="16">
        <f>IF(AND(K288&lt;&gt;"",L288&lt;&gt;""),L288-K288,"")</f>
        <v/>
      </c>
      <c r="N288" s="14">
        <f>IF(AND(H288&lt;&gt;"",I288&lt;&gt;""),I288-H288,"")</f>
        <v/>
      </c>
      <c r="O288" s="14">
        <f>IF(I288&lt;&gt;"",I288-TODAY(),"")</f>
        <v/>
      </c>
      <c r="P288" s="15">
        <f>IF(I288="","",IF(J288="Anual",I288+365,I288+30))</f>
        <v/>
      </c>
      <c r="Q288" s="14">
        <f>IF(I288="","",IF(O288&lt;0,"Vencida",IF(O288&lt;=3,"Por vencer","Activa")))</f>
        <v/>
      </c>
      <c r="R288" s="14" t="n"/>
      <c r="S288" s="14">
        <f>IF(OR(E288="",I288=""),"",HYPERLINK(IF(F288&lt;&gt;"","https://wa.me/"&amp;SUBSTITUTE(SUBSTITUTE(SUBSTITUTE(F288,"+",""),"-","")," ","")&amp;"?text="&amp;SUBSTITUTE(SUBSTITUTE("Hola "&amp;E288&amp;", tu cuenta de "&amp;A288&amp;" vence el "&amp;TEXT(I288,"dd/mm/yyyy")&amp;". Deseas renovarla?"," ","%20"),"?","%3F"),"https://api.whatsapp.com/send?text="&amp;SUBSTITUTE(SUBSTITUTE("Hola "&amp;E288&amp;", tu cuenta de "&amp;A288&amp;" vence el "&amp;TEXT(I288,"dd/mm/yyyy")&amp;". Deseas renovarla?"," ","%20"),"?","%3F")),"Enviar recordatorio"))</f>
        <v/>
      </c>
      <c r="T288" s="14" t="n"/>
    </row>
    <row r="289" ht="15" customHeight="1" s="28">
      <c r="A289" s="14" t="n"/>
      <c r="B289" s="14" t="n"/>
      <c r="C289" s="14" t="n"/>
      <c r="D289" s="14" t="n"/>
      <c r="E289" s="14" t="n"/>
      <c r="F289" s="14" t="n"/>
      <c r="G289" s="14" t="n"/>
      <c r="H289" s="15" t="n"/>
      <c r="I289" s="15" t="n"/>
      <c r="J289" s="14" t="n"/>
      <c r="K289" s="16">
        <f>IFERROR(VLOOKUP(A289,Precios!$A$5:$C$14,2,FALSE()),"")</f>
        <v/>
      </c>
      <c r="L289" s="16">
        <f>IFERROR(VLOOKUP(A289,Precios!$A$5:$C$14,3,FALSE()),"")</f>
        <v/>
      </c>
      <c r="M289" s="16">
        <f>IF(AND(K289&lt;&gt;"",L289&lt;&gt;""),L289-K289,"")</f>
        <v/>
      </c>
      <c r="N289" s="14">
        <f>IF(AND(H289&lt;&gt;"",I289&lt;&gt;""),I289-H289,"")</f>
        <v/>
      </c>
      <c r="O289" s="14">
        <f>IF(I289&lt;&gt;"",I289-TODAY(),"")</f>
        <v/>
      </c>
      <c r="P289" s="15">
        <f>IF(I289="","",IF(J289="Anual",I289+365,I289+30))</f>
        <v/>
      </c>
      <c r="Q289" s="14">
        <f>IF(I289="","",IF(O289&lt;0,"Vencida",IF(O289&lt;=3,"Por vencer","Activa")))</f>
        <v/>
      </c>
      <c r="R289" s="14" t="n"/>
      <c r="S289" s="14">
        <f>IF(OR(E289="",I289=""),"",HYPERLINK(IF(F289&lt;&gt;"","https://wa.me/"&amp;SUBSTITUTE(SUBSTITUTE(SUBSTITUTE(F289,"+",""),"-","")," ","")&amp;"?text="&amp;SUBSTITUTE(SUBSTITUTE("Hola "&amp;E289&amp;", tu cuenta de "&amp;A289&amp;" vence el "&amp;TEXT(I289,"dd/mm/yyyy")&amp;". Deseas renovarla?"," ","%20"),"?","%3F"),"https://api.whatsapp.com/send?text="&amp;SUBSTITUTE(SUBSTITUTE("Hola "&amp;E289&amp;", tu cuenta de "&amp;A289&amp;" vence el "&amp;TEXT(I289,"dd/mm/yyyy")&amp;". Deseas renovarla?"," ","%20"),"?","%3F")),"Enviar recordatorio"))</f>
        <v/>
      </c>
      <c r="T289" s="14" t="n"/>
    </row>
    <row r="290" ht="15" customHeight="1" s="28">
      <c r="A290" s="14" t="n"/>
      <c r="B290" s="14" t="n"/>
      <c r="C290" s="14" t="n"/>
      <c r="D290" s="14" t="n"/>
      <c r="E290" s="14" t="n"/>
      <c r="F290" s="14" t="n"/>
      <c r="G290" s="14" t="n"/>
      <c r="H290" s="15" t="n"/>
      <c r="I290" s="15" t="n"/>
      <c r="J290" s="14" t="n"/>
      <c r="K290" s="16">
        <f>IFERROR(VLOOKUP(A290,Precios!$A$5:$C$14,2,FALSE()),"")</f>
        <v/>
      </c>
      <c r="L290" s="16">
        <f>IFERROR(VLOOKUP(A290,Precios!$A$5:$C$14,3,FALSE()),"")</f>
        <v/>
      </c>
      <c r="M290" s="16">
        <f>IF(AND(K290&lt;&gt;"",L290&lt;&gt;""),L290-K290,"")</f>
        <v/>
      </c>
      <c r="N290" s="14">
        <f>IF(AND(H290&lt;&gt;"",I290&lt;&gt;""),I290-H290,"")</f>
        <v/>
      </c>
      <c r="O290" s="14">
        <f>IF(I290&lt;&gt;"",I290-TODAY(),"")</f>
        <v/>
      </c>
      <c r="P290" s="15">
        <f>IF(I290="","",IF(J290="Anual",I290+365,I290+30))</f>
        <v/>
      </c>
      <c r="Q290" s="14">
        <f>IF(I290="","",IF(O290&lt;0,"Vencida",IF(O290&lt;=3,"Por vencer","Activa")))</f>
        <v/>
      </c>
      <c r="R290" s="14" t="n"/>
      <c r="S290" s="14">
        <f>IF(OR(E290="",I290=""),"",HYPERLINK(IF(F290&lt;&gt;"","https://wa.me/"&amp;SUBSTITUTE(SUBSTITUTE(SUBSTITUTE(F290,"+",""),"-","")," ","")&amp;"?text="&amp;SUBSTITUTE(SUBSTITUTE("Hola "&amp;E290&amp;", tu cuenta de "&amp;A290&amp;" vence el "&amp;TEXT(I290,"dd/mm/yyyy")&amp;". Deseas renovarla?"," ","%20"),"?","%3F"),"https://api.whatsapp.com/send?text="&amp;SUBSTITUTE(SUBSTITUTE("Hola "&amp;E290&amp;", tu cuenta de "&amp;A290&amp;" vence el "&amp;TEXT(I290,"dd/mm/yyyy")&amp;". Deseas renovarla?"," ","%20"),"?","%3F")),"Enviar recordatorio"))</f>
        <v/>
      </c>
      <c r="T290" s="14" t="n"/>
    </row>
    <row r="291" ht="15" customHeight="1" s="28">
      <c r="A291" s="14" t="n"/>
      <c r="B291" s="14" t="n"/>
      <c r="C291" s="14" t="n"/>
      <c r="D291" s="14" t="n"/>
      <c r="E291" s="14" t="n"/>
      <c r="F291" s="14" t="n"/>
      <c r="G291" s="14" t="n"/>
      <c r="H291" s="15" t="n"/>
      <c r="I291" s="15" t="n"/>
      <c r="J291" s="14" t="n"/>
      <c r="K291" s="16">
        <f>IFERROR(VLOOKUP(A291,Precios!$A$5:$C$14,2,FALSE()),"")</f>
        <v/>
      </c>
      <c r="L291" s="16">
        <f>IFERROR(VLOOKUP(A291,Precios!$A$5:$C$14,3,FALSE()),"")</f>
        <v/>
      </c>
      <c r="M291" s="16">
        <f>IF(AND(K291&lt;&gt;"",L291&lt;&gt;""),L291-K291,"")</f>
        <v/>
      </c>
      <c r="N291" s="14">
        <f>IF(AND(H291&lt;&gt;"",I291&lt;&gt;""),I291-H291,"")</f>
        <v/>
      </c>
      <c r="O291" s="14">
        <f>IF(I291&lt;&gt;"",I291-TODAY(),"")</f>
        <v/>
      </c>
      <c r="P291" s="15">
        <f>IF(I291="","",IF(J291="Anual",I291+365,I291+30))</f>
        <v/>
      </c>
      <c r="Q291" s="14">
        <f>IF(I291="","",IF(O291&lt;0,"Vencida",IF(O291&lt;=3,"Por vencer","Activa")))</f>
        <v/>
      </c>
      <c r="R291" s="14" t="n"/>
      <c r="S291" s="14">
        <f>IF(OR(E291="",I291=""),"",HYPERLINK(IF(F291&lt;&gt;"","https://wa.me/"&amp;SUBSTITUTE(SUBSTITUTE(SUBSTITUTE(F291,"+",""),"-","")," ","")&amp;"?text="&amp;SUBSTITUTE(SUBSTITUTE("Hola "&amp;E291&amp;", tu cuenta de "&amp;A291&amp;" vence el "&amp;TEXT(I291,"dd/mm/yyyy")&amp;". Deseas renovarla?"," ","%20"),"?","%3F"),"https://api.whatsapp.com/send?text="&amp;SUBSTITUTE(SUBSTITUTE("Hola "&amp;E291&amp;", tu cuenta de "&amp;A291&amp;" vence el "&amp;TEXT(I291,"dd/mm/yyyy")&amp;". Deseas renovarla?"," ","%20"),"?","%3F")),"Enviar recordatorio"))</f>
        <v/>
      </c>
      <c r="T291" s="14" t="n"/>
    </row>
    <row r="292" ht="15" customHeight="1" s="28">
      <c r="A292" s="14" t="n"/>
      <c r="B292" s="14" t="n"/>
      <c r="C292" s="14" t="n"/>
      <c r="D292" s="14" t="n"/>
      <c r="E292" s="14" t="n"/>
      <c r="F292" s="14" t="n"/>
      <c r="G292" s="14" t="n"/>
      <c r="H292" s="15" t="n"/>
      <c r="I292" s="15" t="n"/>
      <c r="J292" s="14" t="n"/>
      <c r="K292" s="16">
        <f>IFERROR(VLOOKUP(A292,Precios!$A$5:$C$14,2,FALSE()),"")</f>
        <v/>
      </c>
      <c r="L292" s="16">
        <f>IFERROR(VLOOKUP(A292,Precios!$A$5:$C$14,3,FALSE()),"")</f>
        <v/>
      </c>
      <c r="M292" s="16">
        <f>IF(AND(K292&lt;&gt;"",L292&lt;&gt;""),L292-K292,"")</f>
        <v/>
      </c>
      <c r="N292" s="14">
        <f>IF(AND(H292&lt;&gt;"",I292&lt;&gt;""),I292-H292,"")</f>
        <v/>
      </c>
      <c r="O292" s="14">
        <f>IF(I292&lt;&gt;"",I292-TODAY(),"")</f>
        <v/>
      </c>
      <c r="P292" s="15">
        <f>IF(I292="","",IF(J292="Anual",I292+365,I292+30))</f>
        <v/>
      </c>
      <c r="Q292" s="14">
        <f>IF(I292="","",IF(O292&lt;0,"Vencida",IF(O292&lt;=3,"Por vencer","Activa")))</f>
        <v/>
      </c>
      <c r="R292" s="14" t="n"/>
      <c r="S292" s="14">
        <f>IF(OR(E292="",I292=""),"",HYPERLINK(IF(F292&lt;&gt;"","https://wa.me/"&amp;SUBSTITUTE(SUBSTITUTE(SUBSTITUTE(F292,"+",""),"-","")," ","")&amp;"?text="&amp;SUBSTITUTE(SUBSTITUTE("Hola "&amp;E292&amp;", tu cuenta de "&amp;A292&amp;" vence el "&amp;TEXT(I292,"dd/mm/yyyy")&amp;". Deseas renovarla?"," ","%20"),"?","%3F"),"https://api.whatsapp.com/send?text="&amp;SUBSTITUTE(SUBSTITUTE("Hola "&amp;E292&amp;", tu cuenta de "&amp;A292&amp;" vence el "&amp;TEXT(I292,"dd/mm/yyyy")&amp;". Deseas renovarla?"," ","%20"),"?","%3F")),"Enviar recordatorio"))</f>
        <v/>
      </c>
      <c r="T292" s="14" t="n"/>
    </row>
    <row r="293" ht="15" customHeight="1" s="28">
      <c r="A293" s="14" t="n"/>
      <c r="B293" s="14" t="n"/>
      <c r="C293" s="14" t="n"/>
      <c r="D293" s="14" t="n"/>
      <c r="E293" s="14" t="n"/>
      <c r="F293" s="14" t="n"/>
      <c r="G293" s="14" t="n"/>
      <c r="H293" s="15" t="n"/>
      <c r="I293" s="15" t="n"/>
      <c r="J293" s="14" t="n"/>
      <c r="K293" s="16">
        <f>IFERROR(VLOOKUP(A293,Precios!$A$5:$C$14,2,FALSE()),"")</f>
        <v/>
      </c>
      <c r="L293" s="16">
        <f>IFERROR(VLOOKUP(A293,Precios!$A$5:$C$14,3,FALSE()),"")</f>
        <v/>
      </c>
      <c r="M293" s="16">
        <f>IF(AND(K293&lt;&gt;"",L293&lt;&gt;""),L293-K293,"")</f>
        <v/>
      </c>
      <c r="N293" s="14">
        <f>IF(AND(H293&lt;&gt;"",I293&lt;&gt;""),I293-H293,"")</f>
        <v/>
      </c>
      <c r="O293" s="14">
        <f>IF(I293&lt;&gt;"",I293-TODAY(),"")</f>
        <v/>
      </c>
      <c r="P293" s="15">
        <f>IF(I293="","",IF(J293="Anual",I293+365,I293+30))</f>
        <v/>
      </c>
      <c r="Q293" s="14">
        <f>IF(I293="","",IF(O293&lt;0,"Vencida",IF(O293&lt;=3,"Por vencer","Activa")))</f>
        <v/>
      </c>
      <c r="R293" s="14" t="n"/>
      <c r="S293" s="14">
        <f>IF(OR(E293="",I293=""),"",HYPERLINK(IF(F293&lt;&gt;"","https://wa.me/"&amp;SUBSTITUTE(SUBSTITUTE(SUBSTITUTE(F293,"+",""),"-","")," ","")&amp;"?text="&amp;SUBSTITUTE(SUBSTITUTE("Hola "&amp;E293&amp;", tu cuenta de "&amp;A293&amp;" vence el "&amp;TEXT(I293,"dd/mm/yyyy")&amp;". Deseas renovarla?"," ","%20"),"?","%3F"),"https://api.whatsapp.com/send?text="&amp;SUBSTITUTE(SUBSTITUTE("Hola "&amp;E293&amp;", tu cuenta de "&amp;A293&amp;" vence el "&amp;TEXT(I293,"dd/mm/yyyy")&amp;". Deseas renovarla?"," ","%20"),"?","%3F")),"Enviar recordatorio"))</f>
        <v/>
      </c>
      <c r="T293" s="14" t="n"/>
    </row>
    <row r="294" ht="15" customHeight="1" s="28">
      <c r="A294" s="14" t="n"/>
      <c r="B294" s="14" t="n"/>
      <c r="C294" s="14" t="n"/>
      <c r="D294" s="14" t="n"/>
      <c r="E294" s="14" t="n"/>
      <c r="F294" s="14" t="n"/>
      <c r="G294" s="14" t="n"/>
      <c r="H294" s="15" t="n"/>
      <c r="I294" s="15" t="n"/>
      <c r="J294" s="14" t="n"/>
      <c r="K294" s="16">
        <f>IFERROR(VLOOKUP(A294,Precios!$A$5:$C$14,2,FALSE()),"")</f>
        <v/>
      </c>
      <c r="L294" s="16">
        <f>IFERROR(VLOOKUP(A294,Precios!$A$5:$C$14,3,FALSE()),"")</f>
        <v/>
      </c>
      <c r="M294" s="16">
        <f>IF(AND(K294&lt;&gt;"",L294&lt;&gt;""),L294-K294,"")</f>
        <v/>
      </c>
      <c r="N294" s="14">
        <f>IF(AND(H294&lt;&gt;"",I294&lt;&gt;""),I294-H294,"")</f>
        <v/>
      </c>
      <c r="O294" s="14">
        <f>IF(I294&lt;&gt;"",I294-TODAY(),"")</f>
        <v/>
      </c>
      <c r="P294" s="15">
        <f>IF(I294="","",IF(J294="Anual",I294+365,I294+30))</f>
        <v/>
      </c>
      <c r="Q294" s="14">
        <f>IF(I294="","",IF(O294&lt;0,"Vencida",IF(O294&lt;=3,"Por vencer","Activa")))</f>
        <v/>
      </c>
      <c r="R294" s="14" t="n"/>
      <c r="S294" s="14">
        <f>IF(OR(E294="",I294=""),"",HYPERLINK(IF(F294&lt;&gt;"","https://wa.me/"&amp;SUBSTITUTE(SUBSTITUTE(SUBSTITUTE(F294,"+",""),"-","")," ","")&amp;"?text="&amp;SUBSTITUTE(SUBSTITUTE("Hola "&amp;E294&amp;", tu cuenta de "&amp;A294&amp;" vence el "&amp;TEXT(I294,"dd/mm/yyyy")&amp;". Deseas renovarla?"," ","%20"),"?","%3F"),"https://api.whatsapp.com/send?text="&amp;SUBSTITUTE(SUBSTITUTE("Hola "&amp;E294&amp;", tu cuenta de "&amp;A294&amp;" vence el "&amp;TEXT(I294,"dd/mm/yyyy")&amp;". Deseas renovarla?"," ","%20"),"?","%3F")),"Enviar recordatorio"))</f>
        <v/>
      </c>
      <c r="T294" s="14" t="n"/>
    </row>
    <row r="295" ht="15" customHeight="1" s="28">
      <c r="A295" s="14" t="n"/>
      <c r="B295" s="14" t="n"/>
      <c r="C295" s="14" t="n"/>
      <c r="D295" s="14" t="n"/>
      <c r="E295" s="14" t="n"/>
      <c r="F295" s="14" t="n"/>
      <c r="G295" s="14" t="n"/>
      <c r="H295" s="15" t="n"/>
      <c r="I295" s="15" t="n"/>
      <c r="J295" s="14" t="n"/>
      <c r="K295" s="16">
        <f>IFERROR(VLOOKUP(A295,Precios!$A$5:$C$14,2,FALSE()),"")</f>
        <v/>
      </c>
      <c r="L295" s="16">
        <f>IFERROR(VLOOKUP(A295,Precios!$A$5:$C$14,3,FALSE()),"")</f>
        <v/>
      </c>
      <c r="M295" s="16">
        <f>IF(AND(K295&lt;&gt;"",L295&lt;&gt;""),L295-K295,"")</f>
        <v/>
      </c>
      <c r="N295" s="14">
        <f>IF(AND(H295&lt;&gt;"",I295&lt;&gt;""),I295-H295,"")</f>
        <v/>
      </c>
      <c r="O295" s="14">
        <f>IF(I295&lt;&gt;"",I295-TODAY(),"")</f>
        <v/>
      </c>
      <c r="P295" s="15">
        <f>IF(I295="","",IF(J295="Anual",I295+365,I295+30))</f>
        <v/>
      </c>
      <c r="Q295" s="14">
        <f>IF(I295="","",IF(O295&lt;0,"Vencida",IF(O295&lt;=3,"Por vencer","Activa")))</f>
        <v/>
      </c>
      <c r="R295" s="14" t="n"/>
      <c r="S295" s="14">
        <f>IF(OR(E295="",I295=""),"",HYPERLINK(IF(F295&lt;&gt;"","https://wa.me/"&amp;SUBSTITUTE(SUBSTITUTE(SUBSTITUTE(F295,"+",""),"-","")," ","")&amp;"?text="&amp;SUBSTITUTE(SUBSTITUTE("Hola "&amp;E295&amp;", tu cuenta de "&amp;A295&amp;" vence el "&amp;TEXT(I295,"dd/mm/yyyy")&amp;". Deseas renovarla?"," ","%20"),"?","%3F"),"https://api.whatsapp.com/send?text="&amp;SUBSTITUTE(SUBSTITUTE("Hola "&amp;E295&amp;", tu cuenta de "&amp;A295&amp;" vence el "&amp;TEXT(I295,"dd/mm/yyyy")&amp;". Deseas renovarla?"," ","%20"),"?","%3F")),"Enviar recordatorio"))</f>
        <v/>
      </c>
      <c r="T295" s="14" t="n"/>
    </row>
    <row r="296" ht="15" customHeight="1" s="28">
      <c r="A296" s="14" t="n"/>
      <c r="B296" s="14" t="n"/>
      <c r="C296" s="14" t="n"/>
      <c r="D296" s="14" t="n"/>
      <c r="E296" s="14" t="n"/>
      <c r="F296" s="14" t="n"/>
      <c r="G296" s="14" t="n"/>
      <c r="H296" s="15" t="n"/>
      <c r="I296" s="15" t="n"/>
      <c r="J296" s="14" t="n"/>
      <c r="K296" s="16">
        <f>IFERROR(VLOOKUP(A296,Precios!$A$5:$C$14,2,FALSE()),"")</f>
        <v/>
      </c>
      <c r="L296" s="16">
        <f>IFERROR(VLOOKUP(A296,Precios!$A$5:$C$14,3,FALSE()),"")</f>
        <v/>
      </c>
      <c r="M296" s="16">
        <f>IF(AND(K296&lt;&gt;"",L296&lt;&gt;""),L296-K296,"")</f>
        <v/>
      </c>
      <c r="N296" s="14">
        <f>IF(AND(H296&lt;&gt;"",I296&lt;&gt;""),I296-H296,"")</f>
        <v/>
      </c>
      <c r="O296" s="14">
        <f>IF(I296&lt;&gt;"",I296-TODAY(),"")</f>
        <v/>
      </c>
      <c r="P296" s="15">
        <f>IF(I296="","",IF(J296="Anual",I296+365,I296+30))</f>
        <v/>
      </c>
      <c r="Q296" s="14">
        <f>IF(I296="","",IF(O296&lt;0,"Vencida",IF(O296&lt;=3,"Por vencer","Activa")))</f>
        <v/>
      </c>
      <c r="R296" s="14" t="n"/>
      <c r="S296" s="14">
        <f>IF(OR(E296="",I296=""),"",HYPERLINK(IF(F296&lt;&gt;"","https://wa.me/"&amp;SUBSTITUTE(SUBSTITUTE(SUBSTITUTE(F296,"+",""),"-","")," ","")&amp;"?text="&amp;SUBSTITUTE(SUBSTITUTE("Hola "&amp;E296&amp;", tu cuenta de "&amp;A296&amp;" vence el "&amp;TEXT(I296,"dd/mm/yyyy")&amp;". Deseas renovarla?"," ","%20"),"?","%3F"),"https://api.whatsapp.com/send?text="&amp;SUBSTITUTE(SUBSTITUTE("Hola "&amp;E296&amp;", tu cuenta de "&amp;A296&amp;" vence el "&amp;TEXT(I296,"dd/mm/yyyy")&amp;". Deseas renovarla?"," ","%20"),"?","%3F")),"Enviar recordatorio"))</f>
        <v/>
      </c>
      <c r="T296" s="14" t="n"/>
    </row>
    <row r="297" ht="15" customHeight="1" s="28">
      <c r="A297" s="14" t="n"/>
      <c r="B297" s="14" t="n"/>
      <c r="C297" s="14" t="n"/>
      <c r="D297" s="14" t="n"/>
      <c r="E297" s="14" t="n"/>
      <c r="F297" s="14" t="n"/>
      <c r="G297" s="14" t="n"/>
      <c r="H297" s="15" t="n"/>
      <c r="I297" s="15" t="n"/>
      <c r="J297" s="14" t="n"/>
      <c r="K297" s="16">
        <f>IFERROR(VLOOKUP(A297,Precios!$A$5:$C$14,2,FALSE()),"")</f>
        <v/>
      </c>
      <c r="L297" s="16">
        <f>IFERROR(VLOOKUP(A297,Precios!$A$5:$C$14,3,FALSE()),"")</f>
        <v/>
      </c>
      <c r="M297" s="16">
        <f>IF(AND(K297&lt;&gt;"",L297&lt;&gt;""),L297-K297,"")</f>
        <v/>
      </c>
      <c r="N297" s="14">
        <f>IF(AND(H297&lt;&gt;"",I297&lt;&gt;""),I297-H297,"")</f>
        <v/>
      </c>
      <c r="O297" s="14">
        <f>IF(I297&lt;&gt;"",I297-TODAY(),"")</f>
        <v/>
      </c>
      <c r="P297" s="15">
        <f>IF(I297="","",IF(J297="Anual",I297+365,I297+30))</f>
        <v/>
      </c>
      <c r="Q297" s="14">
        <f>IF(I297="","",IF(O297&lt;0,"Vencida",IF(O297&lt;=3,"Por vencer","Activa")))</f>
        <v/>
      </c>
      <c r="R297" s="14" t="n"/>
      <c r="S297" s="14">
        <f>IF(OR(E297="",I297=""),"",HYPERLINK(IF(F297&lt;&gt;"","https://wa.me/"&amp;SUBSTITUTE(SUBSTITUTE(SUBSTITUTE(F297,"+",""),"-","")," ","")&amp;"?text="&amp;SUBSTITUTE(SUBSTITUTE("Hola "&amp;E297&amp;", tu cuenta de "&amp;A297&amp;" vence el "&amp;TEXT(I297,"dd/mm/yyyy")&amp;". Deseas renovarla?"," ","%20"),"?","%3F"),"https://api.whatsapp.com/send?text="&amp;SUBSTITUTE(SUBSTITUTE("Hola "&amp;E297&amp;", tu cuenta de "&amp;A297&amp;" vence el "&amp;TEXT(I297,"dd/mm/yyyy")&amp;". Deseas renovarla?"," ","%20"),"?","%3F")),"Enviar recordatorio"))</f>
        <v/>
      </c>
      <c r="T297" s="14" t="n"/>
    </row>
    <row r="298" ht="15" customHeight="1" s="28">
      <c r="A298" s="14" t="n"/>
      <c r="B298" s="14" t="n"/>
      <c r="C298" s="14" t="n"/>
      <c r="D298" s="14" t="n"/>
      <c r="E298" s="14" t="n"/>
      <c r="F298" s="14" t="n"/>
      <c r="G298" s="14" t="n"/>
      <c r="H298" s="15" t="n"/>
      <c r="I298" s="15" t="n"/>
      <c r="J298" s="14" t="n"/>
      <c r="K298" s="16">
        <f>IFERROR(VLOOKUP(A298,Precios!$A$5:$C$14,2,FALSE()),"")</f>
        <v/>
      </c>
      <c r="L298" s="16">
        <f>IFERROR(VLOOKUP(A298,Precios!$A$5:$C$14,3,FALSE()),"")</f>
        <v/>
      </c>
      <c r="M298" s="16">
        <f>IF(AND(K298&lt;&gt;"",L298&lt;&gt;""),L298-K298,"")</f>
        <v/>
      </c>
      <c r="N298" s="14">
        <f>IF(AND(H298&lt;&gt;"",I298&lt;&gt;""),I298-H298,"")</f>
        <v/>
      </c>
      <c r="O298" s="14">
        <f>IF(I298&lt;&gt;"",I298-TODAY(),"")</f>
        <v/>
      </c>
      <c r="P298" s="15">
        <f>IF(I298="","",IF(J298="Anual",I298+365,I298+30))</f>
        <v/>
      </c>
      <c r="Q298" s="14">
        <f>IF(I298="","",IF(O298&lt;0,"Vencida",IF(O298&lt;=3,"Por vencer","Activa")))</f>
        <v/>
      </c>
      <c r="R298" s="14" t="n"/>
      <c r="S298" s="14">
        <f>IF(OR(E298="",I298=""),"",HYPERLINK(IF(F298&lt;&gt;"","https://wa.me/"&amp;SUBSTITUTE(SUBSTITUTE(SUBSTITUTE(F298,"+",""),"-","")," ","")&amp;"?text="&amp;SUBSTITUTE(SUBSTITUTE("Hola "&amp;E298&amp;", tu cuenta de "&amp;A298&amp;" vence el "&amp;TEXT(I298,"dd/mm/yyyy")&amp;". Deseas renovarla?"," ","%20"),"?","%3F"),"https://api.whatsapp.com/send?text="&amp;SUBSTITUTE(SUBSTITUTE("Hola "&amp;E298&amp;", tu cuenta de "&amp;A298&amp;" vence el "&amp;TEXT(I298,"dd/mm/yyyy")&amp;". Deseas renovarla?"," ","%20"),"?","%3F")),"Enviar recordatorio"))</f>
        <v/>
      </c>
      <c r="T298" s="14" t="n"/>
    </row>
    <row r="299" ht="15" customHeight="1" s="28">
      <c r="A299" s="14" t="n"/>
      <c r="B299" s="14" t="n"/>
      <c r="C299" s="14" t="n"/>
      <c r="D299" s="14" t="n"/>
      <c r="E299" s="14" t="n"/>
      <c r="F299" s="14" t="n"/>
      <c r="G299" s="14" t="n"/>
      <c r="H299" s="15" t="n"/>
      <c r="I299" s="15" t="n"/>
      <c r="J299" s="14" t="n"/>
      <c r="K299" s="16">
        <f>IFERROR(VLOOKUP(A299,Precios!$A$5:$C$14,2,FALSE()),"")</f>
        <v/>
      </c>
      <c r="L299" s="16">
        <f>IFERROR(VLOOKUP(A299,Precios!$A$5:$C$14,3,FALSE()),"")</f>
        <v/>
      </c>
      <c r="M299" s="16">
        <f>IF(AND(K299&lt;&gt;"",L299&lt;&gt;""),L299-K299,"")</f>
        <v/>
      </c>
      <c r="N299" s="14">
        <f>IF(AND(H299&lt;&gt;"",I299&lt;&gt;""),I299-H299,"")</f>
        <v/>
      </c>
      <c r="O299" s="14">
        <f>IF(I299&lt;&gt;"",I299-TODAY(),"")</f>
        <v/>
      </c>
      <c r="P299" s="15">
        <f>IF(I299="","",IF(J299="Anual",I299+365,I299+30))</f>
        <v/>
      </c>
      <c r="Q299" s="14">
        <f>IF(I299="","",IF(O299&lt;0,"Vencida",IF(O299&lt;=3,"Por vencer","Activa")))</f>
        <v/>
      </c>
      <c r="R299" s="14" t="n"/>
      <c r="S299" s="14">
        <f>IF(OR(E299="",I299=""),"",HYPERLINK(IF(F299&lt;&gt;"","https://wa.me/"&amp;SUBSTITUTE(SUBSTITUTE(SUBSTITUTE(F299,"+",""),"-","")," ","")&amp;"?text="&amp;SUBSTITUTE(SUBSTITUTE("Hola "&amp;E299&amp;", tu cuenta de "&amp;A299&amp;" vence el "&amp;TEXT(I299,"dd/mm/yyyy")&amp;". Deseas renovarla?"," ","%20"),"?","%3F"),"https://api.whatsapp.com/send?text="&amp;SUBSTITUTE(SUBSTITUTE("Hola "&amp;E299&amp;", tu cuenta de "&amp;A299&amp;" vence el "&amp;TEXT(I299,"dd/mm/yyyy")&amp;". Deseas renovarla?"," ","%20"),"?","%3F")),"Enviar recordatorio"))</f>
        <v/>
      </c>
      <c r="T299" s="14" t="n"/>
    </row>
    <row r="300" ht="15" customHeight="1" s="28">
      <c r="A300" s="14" t="n"/>
      <c r="B300" s="14" t="n"/>
      <c r="C300" s="14" t="n"/>
      <c r="D300" s="14" t="n"/>
      <c r="E300" s="14" t="n"/>
      <c r="F300" s="14" t="n"/>
      <c r="G300" s="14" t="n"/>
      <c r="H300" s="15" t="n"/>
      <c r="I300" s="15" t="n"/>
      <c r="J300" s="14" t="n"/>
      <c r="K300" s="16">
        <f>IFERROR(VLOOKUP(A300,Precios!$A$5:$C$14,2,FALSE()),"")</f>
        <v/>
      </c>
      <c r="L300" s="16">
        <f>IFERROR(VLOOKUP(A300,Precios!$A$5:$C$14,3,FALSE()),"")</f>
        <v/>
      </c>
      <c r="M300" s="16">
        <f>IF(AND(K300&lt;&gt;"",L300&lt;&gt;""),L300-K300,"")</f>
        <v/>
      </c>
      <c r="N300" s="14">
        <f>IF(AND(H300&lt;&gt;"",I300&lt;&gt;""),I300-H300,"")</f>
        <v/>
      </c>
      <c r="O300" s="14">
        <f>IF(I300&lt;&gt;"",I300-TODAY(),"")</f>
        <v/>
      </c>
      <c r="P300" s="15">
        <f>IF(I300="","",IF(J300="Anual",I300+365,I300+30))</f>
        <v/>
      </c>
      <c r="Q300" s="14">
        <f>IF(I300="","",IF(O300&lt;0,"Vencida",IF(O300&lt;=3,"Por vencer","Activa")))</f>
        <v/>
      </c>
      <c r="R300" s="14" t="n"/>
      <c r="S300" s="14">
        <f>IF(OR(E300="",I300=""),"",HYPERLINK(IF(F300&lt;&gt;"","https://wa.me/"&amp;SUBSTITUTE(SUBSTITUTE(SUBSTITUTE(F300,"+",""),"-","")," ","")&amp;"?text="&amp;SUBSTITUTE(SUBSTITUTE("Hola "&amp;E300&amp;", tu cuenta de "&amp;A300&amp;" vence el "&amp;TEXT(I300,"dd/mm/yyyy")&amp;". Deseas renovarla?"," ","%20"),"?","%3F"),"https://api.whatsapp.com/send?text="&amp;SUBSTITUTE(SUBSTITUTE("Hola "&amp;E300&amp;", tu cuenta de "&amp;A300&amp;" vence el "&amp;TEXT(I300,"dd/mm/yyyy")&amp;". Deseas renovarla?"," ","%20"),"?","%3F")),"Enviar recordatorio"))</f>
        <v/>
      </c>
      <c r="T300" s="14" t="n"/>
    </row>
  </sheetData>
  <conditionalFormatting sqref="A2:E3 A4:T300 I3:T3 J2:T2">
    <cfRule type="expression" priority="2" dxfId="2">
      <formula>$Q2="Activa"</formula>
    </cfRule>
    <cfRule type="expression" priority="3" dxfId="1">
      <formula>$Q2="Por vencer"</formula>
    </cfRule>
    <cfRule type="expression" priority="4" dxfId="0">
      <formula>$Q2="Vencida"</formula>
    </cfRule>
  </conditionalFormatting>
  <dataValidations count="2">
    <dataValidation sqref="J2:J300" showDropDown="0" showInputMessage="0" showErrorMessage="0" allowBlank="1" type="list">
      <formula1>"Mensual,Anual"</formula1>
      <formula2>0</formula2>
    </dataValidation>
    <dataValidation sqref="R2:R300" showDropDown="0" showInputMessage="0" showErrorMessage="0" allowBlank="1" type="list">
      <formula1>"Sí,No"</formula1>
      <formula2>0</formula2>
    </dataValidation>
  </dataValidations>
  <hyperlinks>
    <hyperlink xmlns:r="http://schemas.openxmlformats.org/officeDocument/2006/relationships" ref="C2" r:id="rId1"/>
  </hyperlink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0" zoomScale="80" zoomScaleNormal="80" workbookViewId="0">
      <pane ySplit="3" topLeftCell="A4" activePane="bottomLeft" state="frozen"/>
      <selection pane="bottomLeft" activeCell="A3" sqref="A3:G3"/>
    </sheetView>
  </sheetViews>
  <sheetFormatPr baseColWidth="10" defaultColWidth="8.7109375" defaultRowHeight="15"/>
  <cols>
    <col width="47" customWidth="1" style="28" min="1" max="1"/>
    <col width="36.7109375" customWidth="1" style="28" min="2" max="2"/>
    <col width="35.28515625" customWidth="1" style="28" min="3" max="3"/>
    <col width="29.140625" customWidth="1" style="28" min="4" max="4"/>
    <col width="29.7109375" customWidth="1" style="28" min="5" max="5"/>
    <col width="32.140625" customWidth="1" style="28" min="6" max="6"/>
    <col width="30.5703125" customWidth="1" style="28" min="7" max="7"/>
  </cols>
  <sheetData>
    <row r="1" ht="19.5" customHeight="1" s="28">
      <c r="A1" s="37" t="inlineStr">
        <is>
          <t>Resumen por Cliente</t>
        </is>
      </c>
    </row>
    <row r="2" ht="15" customHeight="1" s="28"/>
    <row r="3" ht="25.5" customHeight="1" s="28">
      <c r="A3" s="21" t="inlineStr">
        <is>
          <t>Cliente</t>
        </is>
      </c>
      <c r="B3" s="21" t="inlineStr">
        <is>
          <t>Usuario Instagram (opcional)</t>
        </is>
      </c>
      <c r="C3" s="21" t="inlineStr">
        <is>
          <t>Teléfono (opcional)</t>
        </is>
      </c>
      <c r="D3" s="21" t="inlineStr">
        <is>
          <t>Cantidad de Cuentas</t>
        </is>
      </c>
      <c r="E3" s="21" t="inlineStr">
        <is>
          <t>Gasto Mensual Total</t>
        </is>
      </c>
      <c r="F3" s="21" t="inlineStr">
        <is>
          <t>Próximo Vencimiento</t>
        </is>
      </c>
      <c r="G3" s="21" t="inlineStr">
        <is>
          <t>Estado General</t>
        </is>
      </c>
    </row>
    <row r="4" ht="15" customHeight="1" s="28">
      <c r="A4" s="17" t="n"/>
      <c r="B4" s="17" t="n"/>
      <c r="C4" s="18" t="n"/>
      <c r="D4" s="18" t="n"/>
      <c r="E4" s="19" t="n"/>
      <c r="F4" s="20" t="n"/>
      <c r="G4" s="18" t="n"/>
    </row>
    <row r="5" ht="15" customHeight="1" s="28">
      <c r="A5" s="17" t="n"/>
      <c r="B5" s="17" t="n"/>
      <c r="C5" s="18" t="n"/>
      <c r="D5" s="18" t="n"/>
      <c r="E5" s="19" t="n"/>
      <c r="F5" s="20" t="n"/>
      <c r="G5" s="18" t="n"/>
    </row>
    <row r="6" ht="15" customHeight="1" s="28">
      <c r="A6" s="17" t="n"/>
      <c r="B6" s="17" t="n"/>
      <c r="C6" s="18" t="n"/>
      <c r="D6" s="18" t="n"/>
      <c r="E6" s="19" t="n"/>
      <c r="F6" s="20" t="n"/>
      <c r="G6" s="18" t="n"/>
    </row>
    <row r="7" ht="15" customHeight="1" s="28">
      <c r="A7" s="17" t="n"/>
      <c r="B7" s="17" t="n"/>
      <c r="C7" s="18">
        <f>IF(A7="","",IFERROR(VLOOKUP(A7,Cuentas!$E$2:$F$300,2,FALSE()),""))</f>
        <v/>
      </c>
      <c r="D7" s="18">
        <f>IF(A7="","",COUNTIF(Cuentas!$E$2:$E$300,A7))</f>
        <v/>
      </c>
      <c r="E7" s="19">
        <f>IF(A7="","",SUMIF(Cuentas!$E$2:$E$300,A7,Cuentas!$L$2:$L$300))</f>
        <v/>
      </c>
      <c r="F7" s="20">
        <f>IF(OR(A7="",D7=0),"",SUMPRODUCT(MIN(IF(Cuentas!$E$2:$E$300=A7,IF(Cuentas!$I$2:$I$300&lt;&gt;"",Cuentas!$I$2:$I$300)))))</f>
        <v/>
      </c>
      <c r="G7" s="18">
        <f>IF(OR(A7="",D7=0),"",IF(COUNTIFS(Cuentas!$E$2:$E$300,A7,Cuentas!$Q$2:$Q$300,"Vencida")&gt;0,"Tiene cuentas vencidas","Al día"))</f>
        <v/>
      </c>
    </row>
    <row r="8" ht="15" customHeight="1" s="28">
      <c r="A8" s="17" t="n"/>
      <c r="B8" s="17" t="n"/>
      <c r="C8" s="18">
        <f>IF(A8="","",IFERROR(VLOOKUP(A8,Cuentas!$E$2:$F$300,2,FALSE()),""))</f>
        <v/>
      </c>
      <c r="D8" s="18">
        <f>IF(A8="","",COUNTIF(Cuentas!$E$2:$E$300,A8))</f>
        <v/>
      </c>
      <c r="E8" s="19">
        <f>IF(A8="","",SUMIF(Cuentas!$E$2:$E$300,A8,Cuentas!$L$2:$L$300))</f>
        <v/>
      </c>
      <c r="F8" s="20">
        <f>IF(OR(A8="",D8=0),"",SUMPRODUCT(MIN(IF(Cuentas!$E$2:$E$300=A8,IF(Cuentas!$I$2:$I$300&lt;&gt;"",Cuentas!$I$2:$I$300)))))</f>
        <v/>
      </c>
      <c r="G8" s="18">
        <f>IF(OR(A8="",D8=0),"",IF(COUNTIFS(Cuentas!$E$2:$E$300,A8,Cuentas!$Q$2:$Q$300,"Vencida")&gt;0,"Tiene cuentas vencidas","Al día"))</f>
        <v/>
      </c>
    </row>
    <row r="9" ht="15" customHeight="1" s="28">
      <c r="A9" s="17" t="n"/>
      <c r="B9" s="17" t="n"/>
      <c r="C9" s="18">
        <f>IF(A9="","",IFERROR(VLOOKUP(A9,Cuentas!$E$2:$F$300,2,FALSE()),""))</f>
        <v/>
      </c>
      <c r="D9" s="18">
        <f>IF(A9="","",COUNTIF(Cuentas!$E$2:$E$300,A9))</f>
        <v/>
      </c>
      <c r="E9" s="19">
        <f>IF(A9="","",SUMIF(Cuentas!$E$2:$E$300,A9,Cuentas!$L$2:$L$300))</f>
        <v/>
      </c>
      <c r="F9" s="20">
        <f>IF(OR(A9="",D9=0),"",SUMPRODUCT(MIN(IF(Cuentas!$E$2:$E$300=A9,IF(Cuentas!$I$2:$I$300&lt;&gt;"",Cuentas!$I$2:$I$300)))))</f>
        <v/>
      </c>
      <c r="G9" s="18">
        <f>IF(OR(A9="",D9=0),"",IF(COUNTIFS(Cuentas!$E$2:$E$300,A9,Cuentas!$Q$2:$Q$300,"Vencida")&gt;0,"Tiene cuentas vencidas","Al día"))</f>
        <v/>
      </c>
    </row>
    <row r="10" ht="15" customHeight="1" s="28">
      <c r="A10" s="17" t="n"/>
      <c r="B10" s="17" t="n"/>
      <c r="C10" s="18">
        <f>IF(A10="","",IFERROR(VLOOKUP(A10,Cuentas!$E$2:$F$300,2,FALSE()),""))</f>
        <v/>
      </c>
      <c r="D10" s="18">
        <f>IF(A10="","",COUNTIF(Cuentas!$E$2:$E$300,A10))</f>
        <v/>
      </c>
      <c r="E10" s="19">
        <f>IF(A10="","",SUMIF(Cuentas!$E$2:$E$300,A10,Cuentas!$L$2:$L$300))</f>
        <v/>
      </c>
      <c r="F10" s="20">
        <f>IF(OR(A10="",D10=0),"",SUMPRODUCT(MIN(IF(Cuentas!$E$2:$E$300=A10,IF(Cuentas!$I$2:$I$300&lt;&gt;"",Cuentas!$I$2:$I$300)))))</f>
        <v/>
      </c>
      <c r="G10" s="18">
        <f>IF(OR(A10="",D10=0),"",IF(COUNTIFS(Cuentas!$E$2:$E$300,A10,Cuentas!$Q$2:$Q$300,"Vencida")&gt;0,"Tiene cuentas vencidas","Al día"))</f>
        <v/>
      </c>
    </row>
    <row r="11" ht="15" customHeight="1" s="28">
      <c r="A11" s="17" t="n"/>
      <c r="B11" s="17" t="n"/>
      <c r="C11" s="18">
        <f>IF(A11="","",IFERROR(VLOOKUP(A11,Cuentas!$E$2:$F$300,2,FALSE()),""))</f>
        <v/>
      </c>
      <c r="D11" s="18">
        <f>IF(A11="","",COUNTIF(Cuentas!$E$2:$E$300,A11))</f>
        <v/>
      </c>
      <c r="E11" s="19">
        <f>IF(A11="","",SUMIF(Cuentas!$E$2:$E$300,A11,Cuentas!$L$2:$L$300))</f>
        <v/>
      </c>
      <c r="F11" s="20">
        <f>IF(OR(A11="",D11=0),"",SUMPRODUCT(MIN(IF(Cuentas!$E$2:$E$300=A11,IF(Cuentas!$I$2:$I$300&lt;&gt;"",Cuentas!$I$2:$I$300)))))</f>
        <v/>
      </c>
      <c r="G11" s="18">
        <f>IF(OR(A11="",D11=0),"",IF(COUNTIFS(Cuentas!$E$2:$E$300,A11,Cuentas!$Q$2:$Q$300,"Vencida")&gt;0,"Tiene cuentas vencidas","Al día"))</f>
        <v/>
      </c>
    </row>
    <row r="12" ht="15" customHeight="1" s="28">
      <c r="A12" s="17" t="n"/>
      <c r="B12" s="17" t="n"/>
      <c r="C12" s="18">
        <f>IF(A12="","",IFERROR(VLOOKUP(A12,Cuentas!$E$2:$F$300,2,FALSE()),""))</f>
        <v/>
      </c>
      <c r="D12" s="18">
        <f>IF(A12="","",COUNTIF(Cuentas!$E$2:$E$300,A12))</f>
        <v/>
      </c>
      <c r="E12" s="19">
        <f>IF(A12="","",SUMIF(Cuentas!$E$2:$E$300,A12,Cuentas!$L$2:$L$300))</f>
        <v/>
      </c>
      <c r="F12" s="20">
        <f>IF(OR(A12="",D12=0),"",SUMPRODUCT(MIN(IF(Cuentas!$E$2:$E$300=A12,IF(Cuentas!$I$2:$I$300&lt;&gt;"",Cuentas!$I$2:$I$300)))))</f>
        <v/>
      </c>
      <c r="G12" s="18">
        <f>IF(OR(A12="",D12=0),"",IF(COUNTIFS(Cuentas!$E$2:$E$300,A12,Cuentas!$Q$2:$Q$300,"Vencida")&gt;0,"Tiene cuentas vencidas","Al día"))</f>
        <v/>
      </c>
    </row>
    <row r="13" ht="15" customHeight="1" s="28">
      <c r="A13" s="17" t="n"/>
      <c r="B13" s="17" t="n"/>
      <c r="C13" s="18">
        <f>IF(A13="","",IFERROR(VLOOKUP(A13,Cuentas!$E$2:$F$300,2,FALSE()),""))</f>
        <v/>
      </c>
      <c r="D13" s="18">
        <f>IF(A13="","",COUNTIF(Cuentas!$E$2:$E$300,A13))</f>
        <v/>
      </c>
      <c r="E13" s="19">
        <f>IF(A13="","",SUMIF(Cuentas!$E$2:$E$300,A13,Cuentas!$L$2:$L$300))</f>
        <v/>
      </c>
      <c r="F13" s="20">
        <f>IF(OR(A13="",D13=0),"",SUMPRODUCT(MIN(IF(Cuentas!$E$2:$E$300=A13,IF(Cuentas!$I$2:$I$300&lt;&gt;"",Cuentas!$I$2:$I$300)))))</f>
        <v/>
      </c>
      <c r="G13" s="18">
        <f>IF(OR(A13="",D13=0),"",IF(COUNTIFS(Cuentas!$E$2:$E$300,A13,Cuentas!$Q$2:$Q$300,"Vencida")&gt;0,"Tiene cuentas vencidas","Al día"))</f>
        <v/>
      </c>
    </row>
    <row r="14" ht="15" customHeight="1" s="28">
      <c r="A14" s="17" t="n"/>
      <c r="B14" s="17" t="n"/>
      <c r="C14" s="18">
        <f>IF(A14="","",IFERROR(VLOOKUP(A14,Cuentas!$E$2:$F$300,2,FALSE()),""))</f>
        <v/>
      </c>
      <c r="D14" s="18">
        <f>IF(A14="","",COUNTIF(Cuentas!$E$2:$E$300,A14))</f>
        <v/>
      </c>
      <c r="E14" s="19">
        <f>IF(A14="","",SUMIF(Cuentas!$E$2:$E$300,A14,Cuentas!$L$2:$L$300))</f>
        <v/>
      </c>
      <c r="F14" s="20">
        <f>IF(OR(A14="",D14=0),"",SUMPRODUCT(MIN(IF(Cuentas!$E$2:$E$300=A14,IF(Cuentas!$I$2:$I$300&lt;&gt;"",Cuentas!$I$2:$I$300)))))</f>
        <v/>
      </c>
      <c r="G14" s="18">
        <f>IF(OR(A14="",D14=0),"",IF(COUNTIFS(Cuentas!$E$2:$E$300,A14,Cuentas!$Q$2:$Q$300,"Vencida")&gt;0,"Tiene cuentas vencidas","Al día"))</f>
        <v/>
      </c>
    </row>
    <row r="15" ht="15" customHeight="1" s="28">
      <c r="A15" s="17" t="n"/>
      <c r="B15" s="17" t="n"/>
      <c r="C15" s="18">
        <f>IF(A15="","",IFERROR(VLOOKUP(A15,Cuentas!$E$2:$F$300,2,FALSE()),""))</f>
        <v/>
      </c>
      <c r="D15" s="18">
        <f>IF(A15="","",COUNTIF(Cuentas!$E$2:$E$300,A15))</f>
        <v/>
      </c>
      <c r="E15" s="19">
        <f>IF(A15="","",SUMIF(Cuentas!$E$2:$E$300,A15,Cuentas!$L$2:$L$300))</f>
        <v/>
      </c>
      <c r="F15" s="20">
        <f>IF(OR(A15="",D15=0),"",SUMPRODUCT(MIN(IF(Cuentas!$E$2:$E$300=A15,IF(Cuentas!$I$2:$I$300&lt;&gt;"",Cuentas!$I$2:$I$300)))))</f>
        <v/>
      </c>
      <c r="G15" s="18">
        <f>IF(OR(A15="",D15=0),"",IF(COUNTIFS(Cuentas!$E$2:$E$300,A15,Cuentas!$Q$2:$Q$300,"Vencida")&gt;0,"Tiene cuentas vencidas","Al día"))</f>
        <v/>
      </c>
    </row>
    <row r="16" ht="15" customHeight="1" s="28">
      <c r="A16" s="17" t="n"/>
      <c r="B16" s="17" t="n"/>
      <c r="C16" s="18">
        <f>IF(A16="","",IFERROR(VLOOKUP(A16,Cuentas!$E$2:$F$300,2,FALSE()),""))</f>
        <v/>
      </c>
      <c r="D16" s="18">
        <f>IF(A16="","",COUNTIF(Cuentas!$E$2:$E$300,A16))</f>
        <v/>
      </c>
      <c r="E16" s="19">
        <f>IF(A16="","",SUMIF(Cuentas!$E$2:$E$300,A16,Cuentas!$L$2:$L$300))</f>
        <v/>
      </c>
      <c r="F16" s="20">
        <f>IF(OR(A16="",D16=0),"",SUMPRODUCT(MIN(IF(Cuentas!$E$2:$E$300=A16,IF(Cuentas!$I$2:$I$300&lt;&gt;"",Cuentas!$I$2:$I$300)))))</f>
        <v/>
      </c>
      <c r="G16" s="18">
        <f>IF(OR(A16="",D16=0),"",IF(COUNTIFS(Cuentas!$E$2:$E$300,A16,Cuentas!$Q$2:$Q$300,"Vencida")&gt;0,"Tiene cuentas vencidas","Al día"))</f>
        <v/>
      </c>
    </row>
    <row r="17" ht="15" customHeight="1" s="28">
      <c r="A17" s="17" t="n"/>
      <c r="B17" s="17" t="n"/>
      <c r="C17" s="18">
        <f>IF(A17="","",IFERROR(VLOOKUP(A17,Cuentas!$E$2:$F$300,2,FALSE()),""))</f>
        <v/>
      </c>
      <c r="D17" s="18">
        <f>IF(A17="","",COUNTIF(Cuentas!$E$2:$E$300,A17))</f>
        <v/>
      </c>
      <c r="E17" s="19">
        <f>IF(A17="","",SUMIF(Cuentas!$E$2:$E$300,A17,Cuentas!$L$2:$L$300))</f>
        <v/>
      </c>
      <c r="F17" s="20">
        <f>IF(OR(A17="",D17=0),"",SUMPRODUCT(MIN(IF(Cuentas!$E$2:$E$300=A17,IF(Cuentas!$I$2:$I$300&lt;&gt;"",Cuentas!$I$2:$I$300)))))</f>
        <v/>
      </c>
      <c r="G17" s="18">
        <f>IF(OR(A17="",D17=0),"",IF(COUNTIFS(Cuentas!$E$2:$E$300,A17,Cuentas!$Q$2:$Q$300,"Vencida")&gt;0,"Tiene cuentas vencidas","Al día"))</f>
        <v/>
      </c>
    </row>
    <row r="18" ht="15" customHeight="1" s="28">
      <c r="A18" s="17" t="n"/>
      <c r="B18" s="17" t="n"/>
      <c r="C18" s="18">
        <f>IF(A18="","",IFERROR(VLOOKUP(A18,Cuentas!$E$2:$F$300,2,FALSE()),""))</f>
        <v/>
      </c>
      <c r="D18" s="18">
        <f>IF(A18="","",COUNTIF(Cuentas!$E$2:$E$300,A18))</f>
        <v/>
      </c>
      <c r="E18" s="19">
        <f>IF(A18="","",SUMIF(Cuentas!$E$2:$E$300,A18,Cuentas!$L$2:$L$300))</f>
        <v/>
      </c>
      <c r="F18" s="20">
        <f>IF(OR(A18="",D18=0),"",SUMPRODUCT(MIN(IF(Cuentas!$E$2:$E$300=A18,IF(Cuentas!$I$2:$I$300&lt;&gt;"",Cuentas!$I$2:$I$300)))))</f>
        <v/>
      </c>
      <c r="G18" s="18">
        <f>IF(OR(A18="",D18=0),"",IF(COUNTIFS(Cuentas!$E$2:$E$300,A18,Cuentas!$Q$2:$Q$300,"Vencida")&gt;0,"Tiene cuentas vencidas","Al día"))</f>
        <v/>
      </c>
    </row>
    <row r="19" ht="15" customHeight="1" s="28">
      <c r="A19" s="17" t="n"/>
      <c r="B19" s="17" t="n"/>
      <c r="C19" s="18">
        <f>IF(A19="","",IFERROR(VLOOKUP(A19,Cuentas!$E$2:$F$300,2,FALSE()),""))</f>
        <v/>
      </c>
      <c r="D19" s="18">
        <f>IF(A19="","",COUNTIF(Cuentas!$E$2:$E$300,A19))</f>
        <v/>
      </c>
      <c r="E19" s="19">
        <f>IF(A19="","",SUMIF(Cuentas!$E$2:$E$300,A19,Cuentas!$L$2:$L$300))</f>
        <v/>
      </c>
      <c r="F19" s="20">
        <f>IF(OR(A19="",D19=0),"",SUMPRODUCT(MIN(IF(Cuentas!$E$2:$E$300=A19,IF(Cuentas!$I$2:$I$300&lt;&gt;"",Cuentas!$I$2:$I$300)))))</f>
        <v/>
      </c>
      <c r="G19" s="18">
        <f>IF(OR(A19="",D19=0),"",IF(COUNTIFS(Cuentas!$E$2:$E$300,A19,Cuentas!$Q$2:$Q$300,"Vencida")&gt;0,"Tiene cuentas vencidas","Al día"))</f>
        <v/>
      </c>
    </row>
    <row r="20" ht="15" customHeight="1" s="28">
      <c r="A20" s="17" t="n"/>
      <c r="B20" s="17" t="n"/>
      <c r="C20" s="18">
        <f>IF(A20="","",IFERROR(VLOOKUP(A20,Cuentas!$E$2:$F$300,2,FALSE()),""))</f>
        <v/>
      </c>
      <c r="D20" s="18">
        <f>IF(A20="","",COUNTIF(Cuentas!$E$2:$E$300,A20))</f>
        <v/>
      </c>
      <c r="E20" s="19">
        <f>IF(A20="","",SUMIF(Cuentas!$E$2:$E$300,A20,Cuentas!$L$2:$L$300))</f>
        <v/>
      </c>
      <c r="F20" s="20">
        <f>IF(OR(A20="",D20=0),"",SUMPRODUCT(MIN(IF(Cuentas!$E$2:$E$300=A20,IF(Cuentas!$I$2:$I$300&lt;&gt;"",Cuentas!$I$2:$I$300)))))</f>
        <v/>
      </c>
      <c r="G20" s="18">
        <f>IF(OR(A20="",D20=0),"",IF(COUNTIFS(Cuentas!$E$2:$E$300,A20,Cuentas!$Q$2:$Q$300,"Vencida")&gt;0,"Tiene cuentas vencidas","Al día"))</f>
        <v/>
      </c>
    </row>
    <row r="21" ht="15" customHeight="1" s="28">
      <c r="A21" s="17" t="n"/>
      <c r="B21" s="17" t="n"/>
      <c r="C21" s="18">
        <f>IF(A21="","",IFERROR(VLOOKUP(A21,Cuentas!$E$2:$F$300,2,FALSE()),""))</f>
        <v/>
      </c>
      <c r="D21" s="18">
        <f>IF(A21="","",COUNTIF(Cuentas!$E$2:$E$300,A21))</f>
        <v/>
      </c>
      <c r="E21" s="19">
        <f>IF(A21="","",SUMIF(Cuentas!$E$2:$E$300,A21,Cuentas!$L$2:$L$300))</f>
        <v/>
      </c>
      <c r="F21" s="20">
        <f>IF(OR(A21="",D21=0),"",SUMPRODUCT(MIN(IF(Cuentas!$E$2:$E$300=A21,IF(Cuentas!$I$2:$I$300&lt;&gt;"",Cuentas!$I$2:$I$300)))))</f>
        <v/>
      </c>
      <c r="G21" s="18">
        <f>IF(OR(A21="",D21=0),"",IF(COUNTIFS(Cuentas!$E$2:$E$300,A21,Cuentas!$Q$2:$Q$300,"Vencida")&gt;0,"Tiene cuentas vencidas","Al día"))</f>
        <v/>
      </c>
    </row>
    <row r="22" ht="15" customHeight="1" s="28">
      <c r="A22" s="17" t="n"/>
      <c r="B22" s="17" t="n"/>
      <c r="C22" s="18">
        <f>IF(A22="","",IFERROR(VLOOKUP(A22,Cuentas!$E$2:$F$300,2,FALSE()),""))</f>
        <v/>
      </c>
      <c r="D22" s="18">
        <f>IF(A22="","",COUNTIF(Cuentas!$E$2:$E$300,A22))</f>
        <v/>
      </c>
      <c r="E22" s="19">
        <f>IF(A22="","",SUMIF(Cuentas!$E$2:$E$300,A22,Cuentas!$L$2:$L$300))</f>
        <v/>
      </c>
      <c r="F22" s="20">
        <f>IF(OR(A22="",D22=0),"",SUMPRODUCT(MIN(IF(Cuentas!$E$2:$E$300=A22,IF(Cuentas!$I$2:$I$300&lt;&gt;"",Cuentas!$I$2:$I$300)))))</f>
        <v/>
      </c>
      <c r="G22" s="18">
        <f>IF(OR(A22="",D22=0),"",IF(COUNTIFS(Cuentas!$E$2:$E$300,A22,Cuentas!$Q$2:$Q$300,"Vencida")&gt;0,"Tiene cuentas vencidas","Al día"))</f>
        <v/>
      </c>
    </row>
    <row r="23" ht="15" customHeight="1" s="28">
      <c r="A23" s="17" t="n"/>
      <c r="B23" s="17" t="n"/>
      <c r="C23" s="18">
        <f>IF(A23="","",IFERROR(VLOOKUP(A23,Cuentas!$E$2:$F$300,2,FALSE()),""))</f>
        <v/>
      </c>
      <c r="D23" s="18">
        <f>IF(A23="","",COUNTIF(Cuentas!$E$2:$E$300,A23))</f>
        <v/>
      </c>
      <c r="E23" s="19">
        <f>IF(A23="","",SUMIF(Cuentas!$E$2:$E$300,A23,Cuentas!$L$2:$L$300))</f>
        <v/>
      </c>
      <c r="F23" s="20">
        <f>IF(OR(A23="",D23=0),"",SUMPRODUCT(MIN(IF(Cuentas!$E$2:$E$300=A23,IF(Cuentas!$I$2:$I$300&lt;&gt;"",Cuentas!$I$2:$I$300)))))</f>
        <v/>
      </c>
      <c r="G23" s="18">
        <f>IF(OR(A23="",D23=0),"",IF(COUNTIFS(Cuentas!$E$2:$E$300,A23,Cuentas!$Q$2:$Q$300,"Vencida")&gt;0,"Tiene cuentas vencidas","Al día"))</f>
        <v/>
      </c>
    </row>
    <row r="24" ht="15" customHeight="1" s="28">
      <c r="A24" s="17" t="n"/>
      <c r="B24" s="17" t="n"/>
      <c r="C24" s="18">
        <f>IF(A24="","",IFERROR(VLOOKUP(A24,Cuentas!$E$2:$F$300,2,FALSE()),""))</f>
        <v/>
      </c>
      <c r="D24" s="18">
        <f>IF(A24="","",COUNTIF(Cuentas!$E$2:$E$300,A24))</f>
        <v/>
      </c>
      <c r="E24" s="19">
        <f>IF(A24="","",SUMIF(Cuentas!$E$2:$E$300,A24,Cuentas!$L$2:$L$300))</f>
        <v/>
      </c>
      <c r="F24" s="20">
        <f>IF(OR(A24="",D24=0),"",SUMPRODUCT(MIN(IF(Cuentas!$E$2:$E$300=A24,IF(Cuentas!$I$2:$I$300&lt;&gt;"",Cuentas!$I$2:$I$300)))))</f>
        <v/>
      </c>
      <c r="G24" s="18">
        <f>IF(OR(A24="",D24=0),"",IF(COUNTIFS(Cuentas!$E$2:$E$300,A24,Cuentas!$Q$2:$Q$300,"Vencida")&gt;0,"Tiene cuentas vencidas","Al día"))</f>
        <v/>
      </c>
    </row>
    <row r="25" ht="15" customHeight="1" s="28">
      <c r="A25" s="17" t="n"/>
      <c r="B25" s="17" t="n"/>
      <c r="C25" s="18">
        <f>IF(A25="","",IFERROR(VLOOKUP(A25,Cuentas!$E$2:$F$300,2,FALSE()),""))</f>
        <v/>
      </c>
      <c r="D25" s="18">
        <f>IF(A25="","",COUNTIF(Cuentas!$E$2:$E$300,A25))</f>
        <v/>
      </c>
      <c r="E25" s="19">
        <f>IF(A25="","",SUMIF(Cuentas!$E$2:$E$300,A25,Cuentas!$L$2:$L$300))</f>
        <v/>
      </c>
      <c r="F25" s="20">
        <f>IF(OR(A25="",D25=0),"",SUMPRODUCT(MIN(IF(Cuentas!$E$2:$E$300=A25,IF(Cuentas!$I$2:$I$300&lt;&gt;"",Cuentas!$I$2:$I$300)))))</f>
        <v/>
      </c>
      <c r="G25" s="18">
        <f>IF(OR(A25="",D25=0),"",IF(COUNTIFS(Cuentas!$E$2:$E$300,A25,Cuentas!$Q$2:$Q$300,"Vencida")&gt;0,"Tiene cuentas vencidas","Al día"))</f>
        <v/>
      </c>
    </row>
    <row r="26" ht="15" customHeight="1" s="28">
      <c r="A26" s="17" t="n"/>
      <c r="B26" s="17" t="n"/>
      <c r="C26" s="18">
        <f>IF(A26="","",IFERROR(VLOOKUP(A26,Cuentas!$E$2:$F$300,2,FALSE()),""))</f>
        <v/>
      </c>
      <c r="D26" s="18">
        <f>IF(A26="","",COUNTIF(Cuentas!$E$2:$E$300,A26))</f>
        <v/>
      </c>
      <c r="E26" s="19">
        <f>IF(A26="","",SUMIF(Cuentas!$E$2:$E$300,A26,Cuentas!$L$2:$L$300))</f>
        <v/>
      </c>
      <c r="F26" s="20">
        <f>IF(OR(A26="",D26=0),"",SUMPRODUCT(MIN(IF(Cuentas!$E$2:$E$300=A26,IF(Cuentas!$I$2:$I$300&lt;&gt;"",Cuentas!$I$2:$I$300)))))</f>
        <v/>
      </c>
      <c r="G26" s="18">
        <f>IF(OR(A26="",D26=0),"",IF(COUNTIFS(Cuentas!$E$2:$E$300,A26,Cuentas!$Q$2:$Q$300,"Vencida")&gt;0,"Tiene cuentas vencidas","Al día"))</f>
        <v/>
      </c>
    </row>
    <row r="27" ht="15" customHeight="1" s="28">
      <c r="A27" s="17" t="n"/>
      <c r="B27" s="17" t="n"/>
      <c r="C27" s="18">
        <f>IF(A27="","",IFERROR(VLOOKUP(A27,Cuentas!$E$2:$F$300,2,FALSE()),""))</f>
        <v/>
      </c>
      <c r="D27" s="18">
        <f>IF(A27="","",COUNTIF(Cuentas!$E$2:$E$300,A27))</f>
        <v/>
      </c>
      <c r="E27" s="19">
        <f>IF(A27="","",SUMIF(Cuentas!$E$2:$E$300,A27,Cuentas!$L$2:$L$300))</f>
        <v/>
      </c>
      <c r="F27" s="20">
        <f>IF(OR(A27="",D27=0),"",SUMPRODUCT(MIN(IF(Cuentas!$E$2:$E$300=A27,IF(Cuentas!$I$2:$I$300&lt;&gt;"",Cuentas!$I$2:$I$300)))))</f>
        <v/>
      </c>
      <c r="G27" s="18">
        <f>IF(OR(A27="",D27=0),"",IF(COUNTIFS(Cuentas!$E$2:$E$300,A27,Cuentas!$Q$2:$Q$300,"Vencida")&gt;0,"Tiene cuentas vencidas","Al día"))</f>
        <v/>
      </c>
    </row>
    <row r="28" ht="15" customHeight="1" s="28">
      <c r="A28" s="17" t="n"/>
      <c r="B28" s="17" t="n"/>
      <c r="C28" s="18">
        <f>IF(A28="","",IFERROR(VLOOKUP(A28,Cuentas!$E$2:$F$300,2,FALSE()),""))</f>
        <v/>
      </c>
      <c r="D28" s="18">
        <f>IF(A28="","",COUNTIF(Cuentas!$E$2:$E$300,A28))</f>
        <v/>
      </c>
      <c r="E28" s="19">
        <f>IF(A28="","",SUMIF(Cuentas!$E$2:$E$300,A28,Cuentas!$L$2:$L$300))</f>
        <v/>
      </c>
      <c r="F28" s="20">
        <f>IF(OR(A28="",D28=0),"",SUMPRODUCT(MIN(IF(Cuentas!$E$2:$E$300=A28,IF(Cuentas!$I$2:$I$300&lt;&gt;"",Cuentas!$I$2:$I$300)))))</f>
        <v/>
      </c>
      <c r="G28" s="18">
        <f>IF(OR(A28="",D28=0),"",IF(COUNTIFS(Cuentas!$E$2:$E$300,A28,Cuentas!$Q$2:$Q$300,"Vencida")&gt;0,"Tiene cuentas vencidas","Al día"))</f>
        <v/>
      </c>
    </row>
    <row r="29" ht="15" customHeight="1" s="28">
      <c r="A29" s="17" t="n"/>
      <c r="B29" s="17" t="n"/>
      <c r="C29" s="18">
        <f>IF(A29="","",IFERROR(VLOOKUP(A29,Cuentas!$E$2:$F$300,2,FALSE()),""))</f>
        <v/>
      </c>
      <c r="D29" s="18">
        <f>IF(A29="","",COUNTIF(Cuentas!$E$2:$E$300,A29))</f>
        <v/>
      </c>
      <c r="E29" s="19">
        <f>IF(A29="","",SUMIF(Cuentas!$E$2:$E$300,A29,Cuentas!$L$2:$L$300))</f>
        <v/>
      </c>
      <c r="F29" s="20">
        <f>IF(OR(A29="",D29=0),"",SUMPRODUCT(MIN(IF(Cuentas!$E$2:$E$300=A29,IF(Cuentas!$I$2:$I$300&lt;&gt;"",Cuentas!$I$2:$I$300)))))</f>
        <v/>
      </c>
      <c r="G29" s="18">
        <f>IF(OR(A29="",D29=0),"",IF(COUNTIFS(Cuentas!$E$2:$E$300,A29,Cuentas!$Q$2:$Q$300,"Vencida")&gt;0,"Tiene cuentas vencidas","Al día"))</f>
        <v/>
      </c>
    </row>
    <row r="30" ht="15" customHeight="1" s="28">
      <c r="A30" s="17" t="n"/>
      <c r="B30" s="17" t="n"/>
      <c r="C30" s="18">
        <f>IF(A30="","",IFERROR(VLOOKUP(A30,Cuentas!$E$2:$F$300,2,FALSE()),""))</f>
        <v/>
      </c>
      <c r="D30" s="18">
        <f>IF(A30="","",COUNTIF(Cuentas!$E$2:$E$300,A30))</f>
        <v/>
      </c>
      <c r="E30" s="19">
        <f>IF(A30="","",SUMIF(Cuentas!$E$2:$E$300,A30,Cuentas!$L$2:$L$300))</f>
        <v/>
      </c>
      <c r="F30" s="20">
        <f>IF(OR(A30="",D30=0),"",SUMPRODUCT(MIN(IF(Cuentas!$E$2:$E$300=A30,IF(Cuentas!$I$2:$I$300&lt;&gt;"",Cuentas!$I$2:$I$300)))))</f>
        <v/>
      </c>
      <c r="G30" s="18">
        <f>IF(OR(A30="",D30=0),"",IF(COUNTIFS(Cuentas!$E$2:$E$300,A30,Cuentas!$Q$2:$Q$300,"Vencida")&gt;0,"Tiene cuentas vencidas","Al día"))</f>
        <v/>
      </c>
    </row>
    <row r="31" ht="15" customHeight="1" s="28">
      <c r="A31" s="17" t="n"/>
      <c r="B31" s="17" t="n"/>
      <c r="C31" s="18">
        <f>IF(A31="","",IFERROR(VLOOKUP(A31,Cuentas!$E$2:$F$300,2,FALSE()),""))</f>
        <v/>
      </c>
      <c r="D31" s="18">
        <f>IF(A31="","",COUNTIF(Cuentas!$E$2:$E$300,A31))</f>
        <v/>
      </c>
      <c r="E31" s="19">
        <f>IF(A31="","",SUMIF(Cuentas!$E$2:$E$300,A31,Cuentas!$L$2:$L$300))</f>
        <v/>
      </c>
      <c r="F31" s="20">
        <f>IF(OR(A31="",D31=0),"",SUMPRODUCT(MIN(IF(Cuentas!$E$2:$E$300=A31,IF(Cuentas!$I$2:$I$300&lt;&gt;"",Cuentas!$I$2:$I$300)))))</f>
        <v/>
      </c>
      <c r="G31" s="18">
        <f>IF(OR(A31="",D31=0),"",IF(COUNTIFS(Cuentas!$E$2:$E$300,A31,Cuentas!$Q$2:$Q$300,"Vencida")&gt;0,"Tiene cuentas vencidas","Al día"))</f>
        <v/>
      </c>
    </row>
    <row r="32" ht="15" customHeight="1" s="28">
      <c r="A32" s="17" t="n"/>
      <c r="B32" s="17" t="n"/>
      <c r="C32" s="18">
        <f>IF(A32="","",IFERROR(VLOOKUP(A32,Cuentas!$E$2:$F$300,2,FALSE()),""))</f>
        <v/>
      </c>
      <c r="D32" s="18">
        <f>IF(A32="","",COUNTIF(Cuentas!$E$2:$E$300,A32))</f>
        <v/>
      </c>
      <c r="E32" s="19">
        <f>IF(A32="","",SUMIF(Cuentas!$E$2:$E$300,A32,Cuentas!$L$2:$L$300))</f>
        <v/>
      </c>
      <c r="F32" s="20">
        <f>IF(OR(A32="",D32=0),"",SUMPRODUCT(MIN(IF(Cuentas!$E$2:$E$300=A32,IF(Cuentas!$I$2:$I$300&lt;&gt;"",Cuentas!$I$2:$I$300)))))</f>
        <v/>
      </c>
      <c r="G32" s="18">
        <f>IF(OR(A32="",D32=0),"",IF(COUNTIFS(Cuentas!$E$2:$E$300,A32,Cuentas!$Q$2:$Q$300,"Vencida")&gt;0,"Tiene cuentas vencidas","Al día"))</f>
        <v/>
      </c>
    </row>
    <row r="33" ht="15" customHeight="1" s="28">
      <c r="A33" s="17" t="n"/>
      <c r="B33" s="17" t="n"/>
      <c r="C33" s="18">
        <f>IF(A33="","",IFERROR(VLOOKUP(A33,Cuentas!$E$2:$F$300,2,FALSE()),""))</f>
        <v/>
      </c>
      <c r="D33" s="18">
        <f>IF(A33="","",COUNTIF(Cuentas!$E$2:$E$300,A33))</f>
        <v/>
      </c>
      <c r="E33" s="19">
        <f>IF(A33="","",SUMIF(Cuentas!$E$2:$E$300,A33,Cuentas!$L$2:$L$300))</f>
        <v/>
      </c>
      <c r="F33" s="20">
        <f>IF(OR(A33="",D33=0),"",SUMPRODUCT(MIN(IF(Cuentas!$E$2:$E$300=A33,IF(Cuentas!$I$2:$I$300&lt;&gt;"",Cuentas!$I$2:$I$300)))))</f>
        <v/>
      </c>
      <c r="G33" s="18">
        <f>IF(OR(A33="",D33=0),"",IF(COUNTIFS(Cuentas!$E$2:$E$300,A33,Cuentas!$Q$2:$Q$300,"Vencida")&gt;0,"Tiene cuentas vencidas","Al día"))</f>
        <v/>
      </c>
    </row>
    <row r="34" ht="15" customHeight="1" s="28">
      <c r="A34" s="17" t="n"/>
      <c r="B34" s="17" t="n"/>
      <c r="C34" s="18">
        <f>IF(A34="","",IFERROR(VLOOKUP(A34,Cuentas!$E$2:$F$300,2,FALSE()),""))</f>
        <v/>
      </c>
      <c r="D34" s="18">
        <f>IF(A34="","",COUNTIF(Cuentas!$E$2:$E$300,A34))</f>
        <v/>
      </c>
      <c r="E34" s="19">
        <f>IF(A34="","",SUMIF(Cuentas!$E$2:$E$300,A34,Cuentas!$L$2:$L$300))</f>
        <v/>
      </c>
      <c r="F34" s="20">
        <f>IF(OR(A34="",D34=0),"",SUMPRODUCT(MIN(IF(Cuentas!$E$2:$E$300=A34,IF(Cuentas!$I$2:$I$300&lt;&gt;"",Cuentas!$I$2:$I$300)))))</f>
        <v/>
      </c>
      <c r="G34" s="18">
        <f>IF(OR(A34="",D34=0),"",IF(COUNTIFS(Cuentas!$E$2:$E$300,A34,Cuentas!$Q$2:$Q$300,"Vencida")&gt;0,"Tiene cuentas vencidas","Al día"))</f>
        <v/>
      </c>
    </row>
    <row r="35" ht="15" customHeight="1" s="28">
      <c r="A35" s="17" t="n"/>
      <c r="B35" s="17" t="n"/>
      <c r="C35" s="18">
        <f>IF(A35="","",IFERROR(VLOOKUP(A35,Cuentas!$E$2:$F$300,2,FALSE()),""))</f>
        <v/>
      </c>
      <c r="D35" s="18">
        <f>IF(A35="","",COUNTIF(Cuentas!$E$2:$E$300,A35))</f>
        <v/>
      </c>
      <c r="E35" s="19">
        <f>IF(A35="","",SUMIF(Cuentas!$E$2:$E$300,A35,Cuentas!$L$2:$L$300))</f>
        <v/>
      </c>
      <c r="F35" s="20">
        <f>IF(OR(A35="",D35=0),"",SUMPRODUCT(MIN(IF(Cuentas!$E$2:$E$300=A35,IF(Cuentas!$I$2:$I$300&lt;&gt;"",Cuentas!$I$2:$I$300)))))</f>
        <v/>
      </c>
      <c r="G35" s="18">
        <f>IF(OR(A35="",D35=0),"",IF(COUNTIFS(Cuentas!$E$2:$E$300,A35,Cuentas!$Q$2:$Q$300,"Vencida")&gt;0,"Tiene cuentas vencidas","Al día"))</f>
        <v/>
      </c>
    </row>
    <row r="36" ht="15" customHeight="1" s="28">
      <c r="A36" s="17" t="n"/>
      <c r="B36" s="17" t="n"/>
      <c r="C36" s="18">
        <f>IF(A36="","",IFERROR(VLOOKUP(A36,Cuentas!$E$2:$F$300,2,FALSE()),""))</f>
        <v/>
      </c>
      <c r="D36" s="18">
        <f>IF(A36="","",COUNTIF(Cuentas!$E$2:$E$300,A36))</f>
        <v/>
      </c>
      <c r="E36" s="19">
        <f>IF(A36="","",SUMIF(Cuentas!$E$2:$E$300,A36,Cuentas!$L$2:$L$300))</f>
        <v/>
      </c>
      <c r="F36" s="20">
        <f>IF(OR(A36="",D36=0),"",SUMPRODUCT(MIN(IF(Cuentas!$E$2:$E$300=A36,IF(Cuentas!$I$2:$I$300&lt;&gt;"",Cuentas!$I$2:$I$300)))))</f>
        <v/>
      </c>
      <c r="G36" s="18">
        <f>IF(OR(A36="",D36=0),"",IF(COUNTIFS(Cuentas!$E$2:$E$300,A36,Cuentas!$Q$2:$Q$300,"Vencida")&gt;0,"Tiene cuentas vencidas","Al día"))</f>
        <v/>
      </c>
    </row>
    <row r="37" ht="15" customHeight="1" s="28">
      <c r="A37" s="17" t="n"/>
      <c r="B37" s="17" t="n"/>
      <c r="C37" s="18">
        <f>IF(A37="","",IFERROR(VLOOKUP(A37,Cuentas!$E$2:$F$300,2,FALSE()),""))</f>
        <v/>
      </c>
      <c r="D37" s="18">
        <f>IF(A37="","",COUNTIF(Cuentas!$E$2:$E$300,A37))</f>
        <v/>
      </c>
      <c r="E37" s="19">
        <f>IF(A37="","",SUMIF(Cuentas!$E$2:$E$300,A37,Cuentas!$L$2:$L$300))</f>
        <v/>
      </c>
      <c r="F37" s="20">
        <f>IF(OR(A37="",D37=0),"",SUMPRODUCT(MIN(IF(Cuentas!$E$2:$E$300=A37,IF(Cuentas!$I$2:$I$300&lt;&gt;"",Cuentas!$I$2:$I$300)))))</f>
        <v/>
      </c>
      <c r="G37" s="18">
        <f>IF(OR(A37="",D37=0),"",IF(COUNTIFS(Cuentas!$E$2:$E$300,A37,Cuentas!$Q$2:$Q$300,"Vencida")&gt;0,"Tiene cuentas vencidas","Al día"))</f>
        <v/>
      </c>
    </row>
    <row r="38" ht="15" customHeight="1" s="28">
      <c r="A38" s="17" t="n"/>
      <c r="B38" s="17" t="n"/>
      <c r="C38" s="18">
        <f>IF(A38="","",IFERROR(VLOOKUP(A38,Cuentas!$E$2:$F$300,2,FALSE()),""))</f>
        <v/>
      </c>
      <c r="D38" s="18">
        <f>IF(A38="","",COUNTIF(Cuentas!$E$2:$E$300,A38))</f>
        <v/>
      </c>
      <c r="E38" s="19">
        <f>IF(A38="","",SUMIF(Cuentas!$E$2:$E$300,A38,Cuentas!$L$2:$L$300))</f>
        <v/>
      </c>
      <c r="F38" s="20">
        <f>IF(OR(A38="",D38=0),"",SUMPRODUCT(MIN(IF(Cuentas!$E$2:$E$300=A38,IF(Cuentas!$I$2:$I$300&lt;&gt;"",Cuentas!$I$2:$I$300)))))</f>
        <v/>
      </c>
      <c r="G38" s="18">
        <f>IF(OR(A38="",D38=0),"",IF(COUNTIFS(Cuentas!$E$2:$E$300,A38,Cuentas!$Q$2:$Q$300,"Vencida")&gt;0,"Tiene cuentas vencidas","Al día"))</f>
        <v/>
      </c>
    </row>
    <row r="39" ht="15" customHeight="1" s="28">
      <c r="A39" s="17" t="n"/>
      <c r="B39" s="17" t="n"/>
      <c r="C39" s="18">
        <f>IF(A39="","",IFERROR(VLOOKUP(A39,Cuentas!$E$2:$F$300,2,FALSE()),""))</f>
        <v/>
      </c>
      <c r="D39" s="18">
        <f>IF(A39="","",COUNTIF(Cuentas!$E$2:$E$300,A39))</f>
        <v/>
      </c>
      <c r="E39" s="19">
        <f>IF(A39="","",SUMIF(Cuentas!$E$2:$E$300,A39,Cuentas!$L$2:$L$300))</f>
        <v/>
      </c>
      <c r="F39" s="20">
        <f>IF(OR(A39="",D39=0),"",SUMPRODUCT(MIN(IF(Cuentas!$E$2:$E$300=A39,IF(Cuentas!$I$2:$I$300&lt;&gt;"",Cuentas!$I$2:$I$300)))))</f>
        <v/>
      </c>
      <c r="G39" s="18">
        <f>IF(OR(A39="",D39=0),"",IF(COUNTIFS(Cuentas!$E$2:$E$300,A39,Cuentas!$Q$2:$Q$300,"Vencida")&gt;0,"Tiene cuentas vencidas","Al día"))</f>
        <v/>
      </c>
    </row>
    <row r="40" ht="15" customHeight="1" s="28">
      <c r="A40" s="17" t="n"/>
      <c r="B40" s="17" t="n"/>
      <c r="C40" s="18">
        <f>IF(A40="","",IFERROR(VLOOKUP(A40,Cuentas!$E$2:$F$300,2,FALSE()),""))</f>
        <v/>
      </c>
      <c r="D40" s="18">
        <f>IF(A40="","",COUNTIF(Cuentas!$E$2:$E$300,A40))</f>
        <v/>
      </c>
      <c r="E40" s="19">
        <f>IF(A40="","",SUMIF(Cuentas!$E$2:$E$300,A40,Cuentas!$L$2:$L$300))</f>
        <v/>
      </c>
      <c r="F40" s="20">
        <f>IF(OR(A40="",D40=0),"",SUMPRODUCT(MIN(IF(Cuentas!$E$2:$E$300=A40,IF(Cuentas!$I$2:$I$300&lt;&gt;"",Cuentas!$I$2:$I$300)))))</f>
        <v/>
      </c>
      <c r="G40" s="18">
        <f>IF(OR(A40="",D40=0),"",IF(COUNTIFS(Cuentas!$E$2:$E$300,A40,Cuentas!$Q$2:$Q$300,"Vencida")&gt;0,"Tiene cuentas vencidas","Al día"))</f>
        <v/>
      </c>
    </row>
    <row r="41" ht="15" customHeight="1" s="28">
      <c r="A41" s="17" t="n"/>
      <c r="B41" s="17" t="n"/>
      <c r="C41" s="18">
        <f>IF(A41="","",IFERROR(VLOOKUP(A41,Cuentas!$E$2:$F$300,2,FALSE()),""))</f>
        <v/>
      </c>
      <c r="D41" s="18">
        <f>IF(A41="","",COUNTIF(Cuentas!$E$2:$E$300,A41))</f>
        <v/>
      </c>
      <c r="E41" s="19">
        <f>IF(A41="","",SUMIF(Cuentas!$E$2:$E$300,A41,Cuentas!$L$2:$L$300))</f>
        <v/>
      </c>
      <c r="F41" s="20">
        <f>IF(OR(A41="",D41=0),"",SUMPRODUCT(MIN(IF(Cuentas!$E$2:$E$300=A41,IF(Cuentas!$I$2:$I$300&lt;&gt;"",Cuentas!$I$2:$I$300)))))</f>
        <v/>
      </c>
      <c r="G41" s="18">
        <f>IF(OR(A41="",D41=0),"",IF(COUNTIFS(Cuentas!$E$2:$E$300,A41,Cuentas!$Q$2:$Q$300,"Vencida")&gt;0,"Tiene cuentas vencidas","Al día"))</f>
        <v/>
      </c>
    </row>
    <row r="42" ht="15" customHeight="1" s="28">
      <c r="A42" s="17" t="n"/>
      <c r="B42" s="17" t="n"/>
      <c r="C42" s="18">
        <f>IF(A42="","",IFERROR(VLOOKUP(A42,Cuentas!$E$2:$F$300,2,FALSE()),""))</f>
        <v/>
      </c>
      <c r="D42" s="18">
        <f>IF(A42="","",COUNTIF(Cuentas!$E$2:$E$300,A42))</f>
        <v/>
      </c>
      <c r="E42" s="19">
        <f>IF(A42="","",SUMIF(Cuentas!$E$2:$E$300,A42,Cuentas!$L$2:$L$300))</f>
        <v/>
      </c>
      <c r="F42" s="20">
        <f>IF(OR(A42="",D42=0),"",SUMPRODUCT(MIN(IF(Cuentas!$E$2:$E$300=A42,IF(Cuentas!$I$2:$I$300&lt;&gt;"",Cuentas!$I$2:$I$300)))))</f>
        <v/>
      </c>
      <c r="G42" s="18">
        <f>IF(OR(A42="",D42=0),"",IF(COUNTIFS(Cuentas!$E$2:$E$300,A42,Cuentas!$Q$2:$Q$300,"Vencida")&gt;0,"Tiene cuentas vencidas","Al día"))</f>
        <v/>
      </c>
    </row>
    <row r="43" ht="15" customHeight="1" s="28">
      <c r="A43" s="17" t="n"/>
      <c r="B43" s="17" t="n"/>
      <c r="C43" s="18">
        <f>IF(A43="","",IFERROR(VLOOKUP(A43,Cuentas!$E$2:$F$300,2,FALSE()),""))</f>
        <v/>
      </c>
      <c r="D43" s="18">
        <f>IF(A43="","",COUNTIF(Cuentas!$E$2:$E$300,A43))</f>
        <v/>
      </c>
      <c r="E43" s="19">
        <f>IF(A43="","",SUMIF(Cuentas!$E$2:$E$300,A43,Cuentas!$L$2:$L$300))</f>
        <v/>
      </c>
      <c r="F43" s="20">
        <f>IF(OR(A43="",D43=0),"",SUMPRODUCT(MIN(IF(Cuentas!$E$2:$E$300=A43,IF(Cuentas!$I$2:$I$300&lt;&gt;"",Cuentas!$I$2:$I$300)))))</f>
        <v/>
      </c>
      <c r="G43" s="18">
        <f>IF(OR(A43="",D43=0),"",IF(COUNTIFS(Cuentas!$E$2:$E$300,A43,Cuentas!$Q$2:$Q$300,"Vencida")&gt;0,"Tiene cuentas vencidas","Al día"))</f>
        <v/>
      </c>
    </row>
    <row r="44" ht="15" customHeight="1" s="28">
      <c r="A44" s="17" t="n"/>
      <c r="B44" s="17" t="n"/>
      <c r="C44" s="18">
        <f>IF(A44="","",IFERROR(VLOOKUP(A44,Cuentas!$E$2:$F$300,2,FALSE()),""))</f>
        <v/>
      </c>
      <c r="D44" s="18">
        <f>IF(A44="","",COUNTIF(Cuentas!$E$2:$E$300,A44))</f>
        <v/>
      </c>
      <c r="E44" s="19">
        <f>IF(A44="","",SUMIF(Cuentas!$E$2:$E$300,A44,Cuentas!$L$2:$L$300))</f>
        <v/>
      </c>
      <c r="F44" s="20">
        <f>IF(OR(A44="",D44=0),"",SUMPRODUCT(MIN(IF(Cuentas!$E$2:$E$300=A44,IF(Cuentas!$I$2:$I$300&lt;&gt;"",Cuentas!$I$2:$I$300)))))</f>
        <v/>
      </c>
      <c r="G44" s="18">
        <f>IF(OR(A44="",D44=0),"",IF(COUNTIFS(Cuentas!$E$2:$E$300,A44,Cuentas!$Q$2:$Q$300,"Vencida")&gt;0,"Tiene cuentas vencidas","Al día"))</f>
        <v/>
      </c>
    </row>
    <row r="45" ht="15" customHeight="1" s="28">
      <c r="A45" s="17" t="n"/>
      <c r="B45" s="17" t="n"/>
      <c r="C45" s="18">
        <f>IF(A45="","",IFERROR(VLOOKUP(A45,Cuentas!$E$2:$F$300,2,FALSE()),""))</f>
        <v/>
      </c>
      <c r="D45" s="18">
        <f>IF(A45="","",COUNTIF(Cuentas!$E$2:$E$300,A45))</f>
        <v/>
      </c>
      <c r="E45" s="19">
        <f>IF(A45="","",SUMIF(Cuentas!$E$2:$E$300,A45,Cuentas!$L$2:$L$300))</f>
        <v/>
      </c>
      <c r="F45" s="20">
        <f>IF(OR(A45="",D45=0),"",SUMPRODUCT(MIN(IF(Cuentas!$E$2:$E$300=A45,IF(Cuentas!$I$2:$I$300&lt;&gt;"",Cuentas!$I$2:$I$300)))))</f>
        <v/>
      </c>
      <c r="G45" s="18">
        <f>IF(OR(A45="",D45=0),"",IF(COUNTIFS(Cuentas!$E$2:$E$300,A45,Cuentas!$Q$2:$Q$300,"Vencida")&gt;0,"Tiene cuentas vencidas","Al día"))</f>
        <v/>
      </c>
    </row>
    <row r="46" ht="15" customHeight="1" s="28">
      <c r="A46" s="17" t="n"/>
      <c r="B46" s="17" t="n"/>
      <c r="C46" s="18">
        <f>IF(A46="","",IFERROR(VLOOKUP(A46,Cuentas!$E$2:$F$300,2,FALSE()),""))</f>
        <v/>
      </c>
      <c r="D46" s="18">
        <f>IF(A46="","",COUNTIF(Cuentas!$E$2:$E$300,A46))</f>
        <v/>
      </c>
      <c r="E46" s="19">
        <f>IF(A46="","",SUMIF(Cuentas!$E$2:$E$300,A46,Cuentas!$L$2:$L$300))</f>
        <v/>
      </c>
      <c r="F46" s="20">
        <f>IF(OR(A46="",D46=0),"",SUMPRODUCT(MIN(IF(Cuentas!$E$2:$E$300=A46,IF(Cuentas!$I$2:$I$300&lt;&gt;"",Cuentas!$I$2:$I$300)))))</f>
        <v/>
      </c>
      <c r="G46" s="18">
        <f>IF(OR(A46="",D46=0),"",IF(COUNTIFS(Cuentas!$E$2:$E$300,A46,Cuentas!$Q$2:$Q$300,"Vencida")&gt;0,"Tiene cuentas vencidas","Al día"))</f>
        <v/>
      </c>
    </row>
    <row r="47" ht="15" customHeight="1" s="28">
      <c r="A47" s="17" t="n"/>
      <c r="B47" s="17" t="n"/>
      <c r="C47" s="18">
        <f>IF(A47="","",IFERROR(VLOOKUP(A47,Cuentas!$E$2:$F$300,2,FALSE()),""))</f>
        <v/>
      </c>
      <c r="D47" s="18">
        <f>IF(A47="","",COUNTIF(Cuentas!$E$2:$E$300,A47))</f>
        <v/>
      </c>
      <c r="E47" s="19">
        <f>IF(A47="","",SUMIF(Cuentas!$E$2:$E$300,A47,Cuentas!$L$2:$L$300))</f>
        <v/>
      </c>
      <c r="F47" s="20">
        <f>IF(OR(A47="",D47=0),"",SUMPRODUCT(MIN(IF(Cuentas!$E$2:$E$300=A47,IF(Cuentas!$I$2:$I$300&lt;&gt;"",Cuentas!$I$2:$I$300)))))</f>
        <v/>
      </c>
      <c r="G47" s="18">
        <f>IF(OR(A47="",D47=0),"",IF(COUNTIFS(Cuentas!$E$2:$E$300,A47,Cuentas!$Q$2:$Q$300,"Vencida")&gt;0,"Tiene cuentas vencidas","Al día"))</f>
        <v/>
      </c>
    </row>
    <row r="48" ht="15" customHeight="1" s="28">
      <c r="A48" s="17" t="n"/>
      <c r="B48" s="17" t="n"/>
      <c r="C48" s="18">
        <f>IF(A48="","",IFERROR(VLOOKUP(A48,Cuentas!$E$2:$F$300,2,FALSE()),""))</f>
        <v/>
      </c>
      <c r="D48" s="18">
        <f>IF(A48="","",COUNTIF(Cuentas!$E$2:$E$300,A48))</f>
        <v/>
      </c>
      <c r="E48" s="19">
        <f>IF(A48="","",SUMIF(Cuentas!$E$2:$E$300,A48,Cuentas!$L$2:$L$300))</f>
        <v/>
      </c>
      <c r="F48" s="20">
        <f>IF(OR(A48="",D48=0),"",SUMPRODUCT(MIN(IF(Cuentas!$E$2:$E$300=A48,IF(Cuentas!$I$2:$I$300&lt;&gt;"",Cuentas!$I$2:$I$300)))))</f>
        <v/>
      </c>
      <c r="G48" s="18">
        <f>IF(OR(A48="",D48=0),"",IF(COUNTIFS(Cuentas!$E$2:$E$300,A48,Cuentas!$Q$2:$Q$300,"Vencida")&gt;0,"Tiene cuentas vencidas","Al día"))</f>
        <v/>
      </c>
    </row>
    <row r="49" ht="15" customHeight="1" s="28">
      <c r="A49" s="17" t="n"/>
      <c r="B49" s="17" t="n"/>
      <c r="C49" s="18">
        <f>IF(A49="","",IFERROR(VLOOKUP(A49,Cuentas!$E$2:$F$300,2,FALSE()),""))</f>
        <v/>
      </c>
      <c r="D49" s="18">
        <f>IF(A49="","",COUNTIF(Cuentas!$E$2:$E$300,A49))</f>
        <v/>
      </c>
      <c r="E49" s="19">
        <f>IF(A49="","",SUMIF(Cuentas!$E$2:$E$300,A49,Cuentas!$L$2:$L$300))</f>
        <v/>
      </c>
      <c r="F49" s="20">
        <f>IF(OR(A49="",D49=0),"",SUMPRODUCT(MIN(IF(Cuentas!$E$2:$E$300=A49,IF(Cuentas!$I$2:$I$300&lt;&gt;"",Cuentas!$I$2:$I$300)))))</f>
        <v/>
      </c>
      <c r="G49" s="18">
        <f>IF(OR(A49="",D49=0),"",IF(COUNTIFS(Cuentas!$E$2:$E$300,A49,Cuentas!$Q$2:$Q$300,"Vencida")&gt;0,"Tiene cuentas vencidas","Al día"))</f>
        <v/>
      </c>
    </row>
    <row r="50" ht="15" customHeight="1" s="28">
      <c r="A50" s="17" t="n"/>
      <c r="B50" s="17" t="n"/>
      <c r="C50" s="18">
        <f>IF(A50="","",IFERROR(VLOOKUP(A50,Cuentas!$E$2:$F$300,2,FALSE()),""))</f>
        <v/>
      </c>
      <c r="D50" s="18">
        <f>IF(A50="","",COUNTIF(Cuentas!$E$2:$E$300,A50))</f>
        <v/>
      </c>
      <c r="E50" s="19">
        <f>IF(A50="","",SUMIF(Cuentas!$E$2:$E$300,A50,Cuentas!$L$2:$L$300))</f>
        <v/>
      </c>
      <c r="F50" s="20">
        <f>IF(OR(A50="",D50=0),"",SUMPRODUCT(MIN(IF(Cuentas!$E$2:$E$300=A50,IF(Cuentas!$I$2:$I$300&lt;&gt;"",Cuentas!$I$2:$I$300)))))</f>
        <v/>
      </c>
      <c r="G50" s="18">
        <f>IF(OR(A50="",D50=0),"",IF(COUNTIFS(Cuentas!$E$2:$E$300,A50,Cuentas!$Q$2:$Q$300,"Vencida")&gt;0,"Tiene cuentas vencidas","Al día"))</f>
        <v/>
      </c>
    </row>
    <row r="51" ht="15" customHeight="1" s="28">
      <c r="A51" s="17" t="n"/>
      <c r="B51" s="17" t="n"/>
      <c r="C51" s="18">
        <f>IF(A51="","",IFERROR(VLOOKUP(A51,Cuentas!$E$2:$F$300,2,FALSE()),""))</f>
        <v/>
      </c>
      <c r="D51" s="18">
        <f>IF(A51="","",COUNTIF(Cuentas!$E$2:$E$300,A51))</f>
        <v/>
      </c>
      <c r="E51" s="19">
        <f>IF(A51="","",SUMIF(Cuentas!$E$2:$E$300,A51,Cuentas!$L$2:$L$300))</f>
        <v/>
      </c>
      <c r="F51" s="20">
        <f>IF(OR(A51="",D51=0),"",SUMPRODUCT(MIN(IF(Cuentas!$E$2:$E$300=A51,IF(Cuentas!$I$2:$I$300&lt;&gt;"",Cuentas!$I$2:$I$300)))))</f>
        <v/>
      </c>
      <c r="G51" s="18">
        <f>IF(OR(A51="",D51=0),"",IF(COUNTIFS(Cuentas!$E$2:$E$300,A51,Cuentas!$Q$2:$Q$300,"Vencida")&gt;0,"Tiene cuentas vencidas","Al día"))</f>
        <v/>
      </c>
    </row>
    <row r="52" ht="15" customHeight="1" s="28">
      <c r="A52" s="17" t="n"/>
      <c r="B52" s="17" t="n"/>
      <c r="C52" s="18">
        <f>IF(A52="","",IFERROR(VLOOKUP(A52,Cuentas!$E$2:$F$300,2,FALSE()),""))</f>
        <v/>
      </c>
      <c r="D52" s="18">
        <f>IF(A52="","",COUNTIF(Cuentas!$E$2:$E$300,A52))</f>
        <v/>
      </c>
      <c r="E52" s="19">
        <f>IF(A52="","",SUMIF(Cuentas!$E$2:$E$300,A52,Cuentas!$L$2:$L$300))</f>
        <v/>
      </c>
      <c r="F52" s="20">
        <f>IF(OR(A52="",D52=0),"",SUMPRODUCT(MIN(IF(Cuentas!$E$2:$E$300=A52,IF(Cuentas!$I$2:$I$300&lt;&gt;"",Cuentas!$I$2:$I$300)))))</f>
        <v/>
      </c>
      <c r="G52" s="18">
        <f>IF(OR(A52="",D52=0),"",IF(COUNTIFS(Cuentas!$E$2:$E$300,A52,Cuentas!$Q$2:$Q$300,"Vencida")&gt;0,"Tiene cuentas vencidas","Al día"))</f>
        <v/>
      </c>
    </row>
    <row r="53" ht="15" customHeight="1" s="28">
      <c r="A53" s="17" t="n"/>
      <c r="B53" s="17" t="n"/>
      <c r="C53" s="18">
        <f>IF(A53="","",IFERROR(VLOOKUP(A53,Cuentas!$E$2:$F$300,2,FALSE()),""))</f>
        <v/>
      </c>
      <c r="D53" s="18">
        <f>IF(A53="","",COUNTIF(Cuentas!$E$2:$E$300,A53))</f>
        <v/>
      </c>
      <c r="E53" s="19">
        <f>IF(A53="","",SUMIF(Cuentas!$E$2:$E$300,A53,Cuentas!$L$2:$L$300))</f>
        <v/>
      </c>
      <c r="F53" s="20">
        <f>IF(OR(A53="",D53=0),"",SUMPRODUCT(MIN(IF(Cuentas!$E$2:$E$300=A53,IF(Cuentas!$I$2:$I$300&lt;&gt;"",Cuentas!$I$2:$I$300)))))</f>
        <v/>
      </c>
      <c r="G53" s="18">
        <f>IF(OR(A53="",D53=0),"",IF(COUNTIFS(Cuentas!$E$2:$E$300,A53,Cuentas!$Q$2:$Q$300,"Vencida")&gt;0,"Tiene cuentas vencidas","Al día"))</f>
        <v/>
      </c>
    </row>
    <row r="54" ht="15" customHeight="1" s="28">
      <c r="A54" s="17" t="n"/>
      <c r="B54" s="17" t="n"/>
      <c r="C54" s="18">
        <f>IF(A54="","",IFERROR(VLOOKUP(A54,Cuentas!$E$2:$F$300,2,FALSE()),""))</f>
        <v/>
      </c>
      <c r="D54" s="18">
        <f>IF(A54="","",COUNTIF(Cuentas!$E$2:$E$300,A54))</f>
        <v/>
      </c>
      <c r="E54" s="19">
        <f>IF(A54="","",SUMIF(Cuentas!$E$2:$E$300,A54,Cuentas!$L$2:$L$300))</f>
        <v/>
      </c>
      <c r="F54" s="20">
        <f>IF(OR(A54="",D54=0),"",SUMPRODUCT(MIN(IF(Cuentas!$E$2:$E$300=A54,IF(Cuentas!$I$2:$I$300&lt;&gt;"",Cuentas!$I$2:$I$300)))))</f>
        <v/>
      </c>
      <c r="G54" s="18">
        <f>IF(OR(A54="",D54=0),"",IF(COUNTIFS(Cuentas!$E$2:$E$300,A54,Cuentas!$Q$2:$Q$300,"Vencida")&gt;0,"Tiene cuentas vencidas","Al día"))</f>
        <v/>
      </c>
    </row>
    <row r="55" ht="15" customHeight="1" s="28">
      <c r="A55" s="17" t="n"/>
      <c r="B55" s="17" t="n"/>
      <c r="C55" s="18">
        <f>IF(A55="","",IFERROR(VLOOKUP(A55,Cuentas!$E$2:$F$300,2,FALSE()),""))</f>
        <v/>
      </c>
      <c r="D55" s="18">
        <f>IF(A55="","",COUNTIF(Cuentas!$E$2:$E$300,A55))</f>
        <v/>
      </c>
      <c r="E55" s="19">
        <f>IF(A55="","",SUMIF(Cuentas!$E$2:$E$300,A55,Cuentas!$L$2:$L$300))</f>
        <v/>
      </c>
      <c r="F55" s="20">
        <f>IF(OR(A55="",D55=0),"",SUMPRODUCT(MIN(IF(Cuentas!$E$2:$E$300=A55,IF(Cuentas!$I$2:$I$300&lt;&gt;"",Cuentas!$I$2:$I$300)))))</f>
        <v/>
      </c>
      <c r="G55" s="18">
        <f>IF(OR(A55="",D55=0),"",IF(COUNTIFS(Cuentas!$E$2:$E$300,A55,Cuentas!$Q$2:$Q$300,"Vencida")&gt;0,"Tiene cuentas vencidas","Al día"))</f>
        <v/>
      </c>
    </row>
    <row r="56" ht="15" customHeight="1" s="28">
      <c r="A56" s="17" t="n"/>
      <c r="B56" s="17" t="n"/>
      <c r="C56" s="18">
        <f>IF(A56="","",IFERROR(VLOOKUP(A56,Cuentas!$E$2:$F$300,2,FALSE()),""))</f>
        <v/>
      </c>
      <c r="D56" s="18">
        <f>IF(A56="","",COUNTIF(Cuentas!$E$2:$E$300,A56))</f>
        <v/>
      </c>
      <c r="E56" s="19">
        <f>IF(A56="","",SUMIF(Cuentas!$E$2:$E$300,A56,Cuentas!$L$2:$L$300))</f>
        <v/>
      </c>
      <c r="F56" s="20">
        <f>IF(OR(A56="",D56=0),"",SUMPRODUCT(MIN(IF(Cuentas!$E$2:$E$300=A56,IF(Cuentas!$I$2:$I$300&lt;&gt;"",Cuentas!$I$2:$I$300)))))</f>
        <v/>
      </c>
      <c r="G56" s="18">
        <f>IF(OR(A56="",D56=0),"",IF(COUNTIFS(Cuentas!$E$2:$E$300,A56,Cuentas!$Q$2:$Q$300,"Vencida")&gt;0,"Tiene cuentas vencidas","Al día"))</f>
        <v/>
      </c>
    </row>
    <row r="57" ht="15" customHeight="1" s="28">
      <c r="A57" s="17" t="n"/>
      <c r="B57" s="17" t="n"/>
      <c r="C57" s="18">
        <f>IF(A57="","",IFERROR(VLOOKUP(A57,Cuentas!$E$2:$F$300,2,FALSE()),""))</f>
        <v/>
      </c>
      <c r="D57" s="18">
        <f>IF(A57="","",COUNTIF(Cuentas!$E$2:$E$300,A57))</f>
        <v/>
      </c>
      <c r="E57" s="19">
        <f>IF(A57="","",SUMIF(Cuentas!$E$2:$E$300,A57,Cuentas!$L$2:$L$300))</f>
        <v/>
      </c>
      <c r="F57" s="20">
        <f>IF(OR(A57="",D57=0),"",SUMPRODUCT(MIN(IF(Cuentas!$E$2:$E$300=A57,IF(Cuentas!$I$2:$I$300&lt;&gt;"",Cuentas!$I$2:$I$300)))))</f>
        <v/>
      </c>
      <c r="G57" s="18">
        <f>IF(OR(A57="",D57=0),"",IF(COUNTIFS(Cuentas!$E$2:$E$300,A57,Cuentas!$Q$2:$Q$300,"Vencida")&gt;0,"Tiene cuentas vencidas","Al día"))</f>
        <v/>
      </c>
    </row>
    <row r="58" ht="15" customHeight="1" s="28">
      <c r="A58" s="17" t="n"/>
      <c r="B58" s="17" t="n"/>
      <c r="C58" s="18">
        <f>IF(A58="","",IFERROR(VLOOKUP(A58,Cuentas!$E$2:$F$300,2,FALSE()),""))</f>
        <v/>
      </c>
      <c r="D58" s="18">
        <f>IF(A58="","",COUNTIF(Cuentas!$E$2:$E$300,A58))</f>
        <v/>
      </c>
      <c r="E58" s="19">
        <f>IF(A58="","",SUMIF(Cuentas!$E$2:$E$300,A58,Cuentas!$L$2:$L$300))</f>
        <v/>
      </c>
      <c r="F58" s="20">
        <f>IF(OR(A58="",D58=0),"",SUMPRODUCT(MIN(IF(Cuentas!$E$2:$E$300=A58,IF(Cuentas!$I$2:$I$300&lt;&gt;"",Cuentas!$I$2:$I$300)))))</f>
        <v/>
      </c>
      <c r="G58" s="18">
        <f>IF(OR(A58="",D58=0),"",IF(COUNTIFS(Cuentas!$E$2:$E$300,A58,Cuentas!$Q$2:$Q$300,"Vencida")&gt;0,"Tiene cuentas vencidas","Al día"))</f>
        <v/>
      </c>
    </row>
    <row r="59" ht="15" customHeight="1" s="28">
      <c r="A59" s="17" t="n"/>
      <c r="B59" s="17" t="n"/>
      <c r="C59" s="18">
        <f>IF(A59="","",IFERROR(VLOOKUP(A59,Cuentas!$E$2:$F$300,2,FALSE()),""))</f>
        <v/>
      </c>
      <c r="D59" s="18">
        <f>IF(A59="","",COUNTIF(Cuentas!$E$2:$E$300,A59))</f>
        <v/>
      </c>
      <c r="E59" s="19">
        <f>IF(A59="","",SUMIF(Cuentas!$E$2:$E$300,A59,Cuentas!$L$2:$L$300))</f>
        <v/>
      </c>
      <c r="F59" s="20">
        <f>IF(OR(A59="",D59=0),"",SUMPRODUCT(MIN(IF(Cuentas!$E$2:$E$300=A59,IF(Cuentas!$I$2:$I$300&lt;&gt;"",Cuentas!$I$2:$I$300)))))</f>
        <v/>
      </c>
      <c r="G59" s="18">
        <f>IF(OR(A59="",D59=0),"",IF(COUNTIFS(Cuentas!$E$2:$E$300,A59,Cuentas!$Q$2:$Q$300,"Vencida")&gt;0,"Tiene cuentas vencidas","Al día"))</f>
        <v/>
      </c>
    </row>
    <row r="60" ht="15" customHeight="1" s="28">
      <c r="A60" s="17" t="n"/>
      <c r="B60" s="17" t="n"/>
      <c r="C60" s="18">
        <f>IF(A60="","",IFERROR(VLOOKUP(A60,Cuentas!$E$2:$F$300,2,FALSE()),""))</f>
        <v/>
      </c>
      <c r="D60" s="18">
        <f>IF(A60="","",COUNTIF(Cuentas!$E$2:$E$300,A60))</f>
        <v/>
      </c>
      <c r="E60" s="19">
        <f>IF(A60="","",SUMIF(Cuentas!$E$2:$E$300,A60,Cuentas!$L$2:$L$300))</f>
        <v/>
      </c>
      <c r="F60" s="20">
        <f>IF(OR(A60="",D60=0),"",SUMPRODUCT(MIN(IF(Cuentas!$E$2:$E$300=A60,IF(Cuentas!$I$2:$I$300&lt;&gt;"",Cuentas!$I$2:$I$300)))))</f>
        <v/>
      </c>
      <c r="G60" s="18">
        <f>IF(OR(A60="",D60=0),"",IF(COUNTIFS(Cuentas!$E$2:$E$300,A60,Cuentas!$Q$2:$Q$300,"Vencida")&gt;0,"Tiene cuentas vencidas","Al día"))</f>
        <v/>
      </c>
    </row>
    <row r="61" ht="15" customHeight="1" s="28">
      <c r="A61" s="17" t="n"/>
      <c r="B61" s="17" t="n"/>
      <c r="C61" s="18">
        <f>IF(A61="","",IFERROR(VLOOKUP(A61,Cuentas!$E$2:$F$300,2,FALSE()),""))</f>
        <v/>
      </c>
      <c r="D61" s="18">
        <f>IF(A61="","",COUNTIF(Cuentas!$E$2:$E$300,A61))</f>
        <v/>
      </c>
      <c r="E61" s="19">
        <f>IF(A61="","",SUMIF(Cuentas!$E$2:$E$300,A61,Cuentas!$L$2:$L$300))</f>
        <v/>
      </c>
      <c r="F61" s="20">
        <f>IF(OR(A61="",D61=0),"",SUMPRODUCT(MIN(IF(Cuentas!$E$2:$E$300=A61,IF(Cuentas!$I$2:$I$300&lt;&gt;"",Cuentas!$I$2:$I$300)))))</f>
        <v/>
      </c>
      <c r="G61" s="18">
        <f>IF(OR(A61="",D61=0),"",IF(COUNTIFS(Cuentas!$E$2:$E$300,A61,Cuentas!$Q$2:$Q$300,"Vencida")&gt;0,"Tiene cuentas vencidas","Al día"))</f>
        <v/>
      </c>
    </row>
    <row r="62" ht="15" customHeight="1" s="28">
      <c r="A62" s="17" t="n"/>
      <c r="B62" s="17" t="n"/>
      <c r="C62" s="18">
        <f>IF(A62="","",IFERROR(VLOOKUP(A62,Cuentas!$E$2:$F$300,2,FALSE()),""))</f>
        <v/>
      </c>
      <c r="D62" s="18">
        <f>IF(A62="","",COUNTIF(Cuentas!$E$2:$E$300,A62))</f>
        <v/>
      </c>
      <c r="E62" s="19">
        <f>IF(A62="","",SUMIF(Cuentas!$E$2:$E$300,A62,Cuentas!$L$2:$L$300))</f>
        <v/>
      </c>
      <c r="F62" s="20">
        <f>IF(OR(A62="",D62=0),"",SUMPRODUCT(MIN(IF(Cuentas!$E$2:$E$300=A62,IF(Cuentas!$I$2:$I$300&lt;&gt;"",Cuentas!$I$2:$I$300)))))</f>
        <v/>
      </c>
      <c r="G62" s="18">
        <f>IF(OR(A62="",D62=0),"",IF(COUNTIFS(Cuentas!$E$2:$E$300,A62,Cuentas!$Q$2:$Q$300,"Vencida")&gt;0,"Tiene cuentas vencidas","Al día"))</f>
        <v/>
      </c>
    </row>
    <row r="63" ht="15" customHeight="1" s="28">
      <c r="A63" s="17" t="n"/>
      <c r="B63" s="17" t="n"/>
      <c r="C63" s="18">
        <f>IF(A63="","",IFERROR(VLOOKUP(A63,Cuentas!$E$2:$F$300,2,FALSE()),""))</f>
        <v/>
      </c>
      <c r="D63" s="18">
        <f>IF(A63="","",COUNTIF(Cuentas!$E$2:$E$300,A63))</f>
        <v/>
      </c>
      <c r="E63" s="19">
        <f>IF(A63="","",SUMIF(Cuentas!$E$2:$E$300,A63,Cuentas!$L$2:$L$300))</f>
        <v/>
      </c>
      <c r="F63" s="20">
        <f>IF(OR(A63="",D63=0),"",SUMPRODUCT(MIN(IF(Cuentas!$E$2:$E$300=A63,IF(Cuentas!$I$2:$I$300&lt;&gt;"",Cuentas!$I$2:$I$300)))))</f>
        <v/>
      </c>
      <c r="G63" s="18">
        <f>IF(OR(A63="",D63=0),"",IF(COUNTIFS(Cuentas!$E$2:$E$300,A63,Cuentas!$Q$2:$Q$300,"Vencida")&gt;0,"Tiene cuentas vencidas","Al día"))</f>
        <v/>
      </c>
    </row>
  </sheetData>
  <mergeCells count="1">
    <mergeCell ref="A1:G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2026-07-07T03:37:59Z</dcterms:created>
  <dcterms:modified xsi:type="dcterms:W3CDTF">2026-07-10T05:21:04Z</dcterms:modified>
  <cp:lastModifiedBy>BURDILES CÁRDENAS MARGARITA P</cp:lastModifiedBy>
  <cp:revision>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0x01010056A0056263DC024B89967F3B953AE929</vt:lpwstr>
  </property>
</Properties>
</file>